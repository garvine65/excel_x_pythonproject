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Users\olwal\Desktop\"/>
    </mc:Choice>
  </mc:AlternateContent>
  <xr:revisionPtr revIDLastSave="0" documentId="13_ncr:1_{E9F81C76-8A02-4B63-915B-5D4A205AF969}" xr6:coauthVersionLast="47" xr6:coauthVersionMax="47" xr10:uidLastSave="{00000000-0000-0000-0000-000000000000}"/>
  <bookViews>
    <workbookView xWindow="-110" yWindow="-110" windowWidth="22780" windowHeight="14540" xr2:uid="{00000000-000D-0000-FFFF-FFFF00000000}"/>
  </bookViews>
  <sheets>
    <sheet name="Sheet2" sheetId="2" r:id="rId1"/>
    <sheet name="Sheet1" sheetId="1" r:id="rId2"/>
  </sheets>
  <definedNames>
    <definedName name="NativeTimeline_Sale_Date">#N/A</definedName>
    <definedName name="Slicer_Category">#N/A</definedName>
    <definedName name="Slicer_Region">#N/A</definedName>
  </definedNames>
  <calcPr calcId="191029"/>
  <pivotCaches>
    <pivotCache cacheId="1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K3" i="1" s="1"/>
  <c r="L3" i="1" s="1"/>
  <c r="J3" i="1"/>
  <c r="I4" i="1"/>
  <c r="J4" i="1"/>
  <c r="K4" i="1"/>
  <c r="L4" i="1" s="1"/>
  <c r="I5" i="1"/>
  <c r="K5" i="1" s="1"/>
  <c r="L5" i="1" s="1"/>
  <c r="J5" i="1"/>
  <c r="I6" i="1"/>
  <c r="J6" i="1"/>
  <c r="K6" i="1"/>
  <c r="L6" i="1" s="1"/>
  <c r="I7" i="1"/>
  <c r="K7" i="1" s="1"/>
  <c r="L7" i="1" s="1"/>
  <c r="J7" i="1"/>
  <c r="I8" i="1"/>
  <c r="J8" i="1"/>
  <c r="K8" i="1"/>
  <c r="L8" i="1" s="1"/>
  <c r="I9" i="1"/>
  <c r="K9" i="1" s="1"/>
  <c r="L9" i="1" s="1"/>
  <c r="J9" i="1"/>
  <c r="I10" i="1"/>
  <c r="J10" i="1"/>
  <c r="K10" i="1"/>
  <c r="L10" i="1" s="1"/>
  <c r="I11" i="1"/>
  <c r="K11" i="1" s="1"/>
  <c r="L11" i="1" s="1"/>
  <c r="J11" i="1"/>
  <c r="I12" i="1"/>
  <c r="J12" i="1"/>
  <c r="K12" i="1"/>
  <c r="L12" i="1" s="1"/>
  <c r="I13" i="1"/>
  <c r="K13" i="1" s="1"/>
  <c r="L13" i="1" s="1"/>
  <c r="J13" i="1"/>
  <c r="I14" i="1"/>
  <c r="J14" i="1"/>
  <c r="K14" i="1"/>
  <c r="L14" i="1" s="1"/>
  <c r="I15" i="1"/>
  <c r="K15" i="1" s="1"/>
  <c r="L15" i="1" s="1"/>
  <c r="J15" i="1"/>
  <c r="I16" i="1"/>
  <c r="J16" i="1"/>
  <c r="K16" i="1"/>
  <c r="L16" i="1" s="1"/>
  <c r="I17" i="1"/>
  <c r="K17" i="1" s="1"/>
  <c r="L17" i="1" s="1"/>
  <c r="J17" i="1"/>
  <c r="I18" i="1"/>
  <c r="J18" i="1"/>
  <c r="K18" i="1"/>
  <c r="L18" i="1" s="1"/>
  <c r="I19" i="1"/>
  <c r="K19" i="1" s="1"/>
  <c r="L19" i="1" s="1"/>
  <c r="J19" i="1"/>
  <c r="I20" i="1"/>
  <c r="J20" i="1"/>
  <c r="K20" i="1"/>
  <c r="L20" i="1" s="1"/>
  <c r="I21" i="1"/>
  <c r="K21" i="1" s="1"/>
  <c r="L21" i="1" s="1"/>
  <c r="J21" i="1"/>
  <c r="I22" i="1"/>
  <c r="J22" i="1"/>
  <c r="K22" i="1"/>
  <c r="L22" i="1" s="1"/>
  <c r="I23" i="1"/>
  <c r="K23" i="1" s="1"/>
  <c r="L23" i="1" s="1"/>
  <c r="J23" i="1"/>
  <c r="I24" i="1"/>
  <c r="J24" i="1"/>
  <c r="K24" i="1"/>
  <c r="L24" i="1" s="1"/>
  <c r="I25" i="1"/>
  <c r="K25" i="1" s="1"/>
  <c r="L25" i="1" s="1"/>
  <c r="J25" i="1"/>
  <c r="I26" i="1"/>
  <c r="J26" i="1"/>
  <c r="K26" i="1"/>
  <c r="L26" i="1" s="1"/>
  <c r="I27" i="1"/>
  <c r="K27" i="1" s="1"/>
  <c r="L27" i="1" s="1"/>
  <c r="J27" i="1"/>
  <c r="I28" i="1"/>
  <c r="J28" i="1"/>
  <c r="K28" i="1"/>
  <c r="L28" i="1" s="1"/>
  <c r="I29" i="1"/>
  <c r="K29" i="1" s="1"/>
  <c r="L29" i="1" s="1"/>
  <c r="J29" i="1"/>
  <c r="I30" i="1"/>
  <c r="J30" i="1"/>
  <c r="K30" i="1"/>
  <c r="L30" i="1" s="1"/>
  <c r="I31" i="1"/>
  <c r="K31" i="1" s="1"/>
  <c r="L31" i="1" s="1"/>
  <c r="J31" i="1"/>
  <c r="I32" i="1"/>
  <c r="J32" i="1"/>
  <c r="K32" i="1"/>
  <c r="L32" i="1" s="1"/>
  <c r="I33" i="1"/>
  <c r="K33" i="1" s="1"/>
  <c r="L33" i="1" s="1"/>
  <c r="J33" i="1"/>
  <c r="I34" i="1"/>
  <c r="J34" i="1"/>
  <c r="K34" i="1"/>
  <c r="L34" i="1" s="1"/>
  <c r="I35" i="1"/>
  <c r="K35" i="1" s="1"/>
  <c r="L35" i="1" s="1"/>
  <c r="J35" i="1"/>
  <c r="I36" i="1"/>
  <c r="J36" i="1"/>
  <c r="K36" i="1"/>
  <c r="L36" i="1" s="1"/>
  <c r="I37" i="1"/>
  <c r="K37" i="1" s="1"/>
  <c r="L37" i="1" s="1"/>
  <c r="J37" i="1"/>
  <c r="I38" i="1"/>
  <c r="J38" i="1"/>
  <c r="K38" i="1"/>
  <c r="L38" i="1" s="1"/>
  <c r="I39" i="1"/>
  <c r="K39" i="1" s="1"/>
  <c r="L39" i="1" s="1"/>
  <c r="J39" i="1"/>
  <c r="I40" i="1"/>
  <c r="J40" i="1"/>
  <c r="K40" i="1"/>
  <c r="L40" i="1" s="1"/>
  <c r="I41" i="1"/>
  <c r="K41" i="1" s="1"/>
  <c r="L41" i="1" s="1"/>
  <c r="J41" i="1"/>
  <c r="I42" i="1"/>
  <c r="J42" i="1"/>
  <c r="K42" i="1"/>
  <c r="L42" i="1" s="1"/>
  <c r="I43" i="1"/>
  <c r="K43" i="1" s="1"/>
  <c r="L43" i="1" s="1"/>
  <c r="J43" i="1"/>
  <c r="I44" i="1"/>
  <c r="J44" i="1"/>
  <c r="K44" i="1"/>
  <c r="L44" i="1" s="1"/>
  <c r="I45" i="1"/>
  <c r="K45" i="1" s="1"/>
  <c r="L45" i="1" s="1"/>
  <c r="J45" i="1"/>
  <c r="I46" i="1"/>
  <c r="J46" i="1"/>
  <c r="K46" i="1"/>
  <c r="L46" i="1" s="1"/>
  <c r="I47" i="1"/>
  <c r="K47" i="1" s="1"/>
  <c r="L47" i="1" s="1"/>
  <c r="J47" i="1"/>
  <c r="I48" i="1"/>
  <c r="J48" i="1"/>
  <c r="K48" i="1"/>
  <c r="L48" i="1" s="1"/>
  <c r="I49" i="1"/>
  <c r="K49" i="1" s="1"/>
  <c r="L49" i="1" s="1"/>
  <c r="J49" i="1"/>
  <c r="I50" i="1"/>
  <c r="J50" i="1"/>
  <c r="K50" i="1"/>
  <c r="L50" i="1" s="1"/>
  <c r="I51" i="1"/>
  <c r="K51" i="1" s="1"/>
  <c r="L51" i="1" s="1"/>
  <c r="J51" i="1"/>
  <c r="I52" i="1"/>
  <c r="J52" i="1"/>
  <c r="K52" i="1"/>
  <c r="L52" i="1" s="1"/>
  <c r="I53" i="1"/>
  <c r="K53" i="1" s="1"/>
  <c r="L53" i="1" s="1"/>
  <c r="J53" i="1"/>
  <c r="I54" i="1"/>
  <c r="J54" i="1"/>
  <c r="K54" i="1"/>
  <c r="L54" i="1" s="1"/>
  <c r="I55" i="1"/>
  <c r="K55" i="1" s="1"/>
  <c r="L55" i="1" s="1"/>
  <c r="J55" i="1"/>
  <c r="I56" i="1"/>
  <c r="J56" i="1"/>
  <c r="K56" i="1"/>
  <c r="L56" i="1" s="1"/>
  <c r="I57" i="1"/>
  <c r="K57" i="1" s="1"/>
  <c r="L57" i="1" s="1"/>
  <c r="J57" i="1"/>
  <c r="I58" i="1"/>
  <c r="J58" i="1"/>
  <c r="K58" i="1"/>
  <c r="L58" i="1" s="1"/>
  <c r="I59" i="1"/>
  <c r="K59" i="1" s="1"/>
  <c r="L59" i="1" s="1"/>
  <c r="J59" i="1"/>
  <c r="I60" i="1"/>
  <c r="J60" i="1"/>
  <c r="K60" i="1"/>
  <c r="L60" i="1" s="1"/>
  <c r="I61" i="1"/>
  <c r="K61" i="1" s="1"/>
  <c r="L61" i="1" s="1"/>
  <c r="J61" i="1"/>
  <c r="I62" i="1"/>
  <c r="J62" i="1"/>
  <c r="K62" i="1"/>
  <c r="L62" i="1" s="1"/>
  <c r="I63" i="1"/>
  <c r="K63" i="1" s="1"/>
  <c r="L63" i="1" s="1"/>
  <c r="J63" i="1"/>
  <c r="I64" i="1"/>
  <c r="J64" i="1"/>
  <c r="K64" i="1"/>
  <c r="L64" i="1" s="1"/>
  <c r="I65" i="1"/>
  <c r="K65" i="1" s="1"/>
  <c r="L65" i="1" s="1"/>
  <c r="J65" i="1"/>
  <c r="I66" i="1"/>
  <c r="J66" i="1"/>
  <c r="K66" i="1"/>
  <c r="L66" i="1" s="1"/>
  <c r="I67" i="1"/>
  <c r="K67" i="1" s="1"/>
  <c r="L67" i="1" s="1"/>
  <c r="J67" i="1"/>
  <c r="I68" i="1"/>
  <c r="J68" i="1"/>
  <c r="K68" i="1"/>
  <c r="L68" i="1" s="1"/>
  <c r="I69" i="1"/>
  <c r="K69" i="1" s="1"/>
  <c r="L69" i="1" s="1"/>
  <c r="J69" i="1"/>
  <c r="I70" i="1"/>
  <c r="J70" i="1"/>
  <c r="K70" i="1"/>
  <c r="L70" i="1" s="1"/>
  <c r="I71" i="1"/>
  <c r="K71" i="1" s="1"/>
  <c r="L71" i="1" s="1"/>
  <c r="J71" i="1"/>
  <c r="I72" i="1"/>
  <c r="J72" i="1"/>
  <c r="K72" i="1"/>
  <c r="L72" i="1" s="1"/>
  <c r="I73" i="1"/>
  <c r="K73" i="1" s="1"/>
  <c r="L73" i="1" s="1"/>
  <c r="J73" i="1"/>
  <c r="I74" i="1"/>
  <c r="J74" i="1"/>
  <c r="K74" i="1"/>
  <c r="L74" i="1" s="1"/>
  <c r="I75" i="1"/>
  <c r="K75" i="1" s="1"/>
  <c r="L75" i="1" s="1"/>
  <c r="J75" i="1"/>
  <c r="I76" i="1"/>
  <c r="J76" i="1"/>
  <c r="K76" i="1"/>
  <c r="L76" i="1" s="1"/>
  <c r="I77" i="1"/>
  <c r="K77" i="1" s="1"/>
  <c r="L77" i="1" s="1"/>
  <c r="J77" i="1"/>
  <c r="I78" i="1"/>
  <c r="J78" i="1"/>
  <c r="K78" i="1"/>
  <c r="L78" i="1" s="1"/>
  <c r="I79" i="1"/>
  <c r="K79" i="1" s="1"/>
  <c r="L79" i="1" s="1"/>
  <c r="J79" i="1"/>
  <c r="I80" i="1"/>
  <c r="J80" i="1"/>
  <c r="K80" i="1"/>
  <c r="L80" i="1" s="1"/>
  <c r="I81" i="1"/>
  <c r="K81" i="1" s="1"/>
  <c r="L81" i="1" s="1"/>
  <c r="J81" i="1"/>
  <c r="I82" i="1"/>
  <c r="J82" i="1"/>
  <c r="K82" i="1"/>
  <c r="L82" i="1" s="1"/>
  <c r="I83" i="1"/>
  <c r="K83" i="1" s="1"/>
  <c r="L83" i="1" s="1"/>
  <c r="J83" i="1"/>
  <c r="I84" i="1"/>
  <c r="J84" i="1"/>
  <c r="K84" i="1"/>
  <c r="L84" i="1" s="1"/>
  <c r="I85" i="1"/>
  <c r="K85" i="1" s="1"/>
  <c r="L85" i="1" s="1"/>
  <c r="J85" i="1"/>
  <c r="I86" i="1"/>
  <c r="J86" i="1"/>
  <c r="K86" i="1"/>
  <c r="L86" i="1" s="1"/>
  <c r="I87" i="1"/>
  <c r="K87" i="1" s="1"/>
  <c r="L87" i="1" s="1"/>
  <c r="J87" i="1"/>
  <c r="I88" i="1"/>
  <c r="J88" i="1"/>
  <c r="K88" i="1"/>
  <c r="L88" i="1" s="1"/>
  <c r="I89" i="1"/>
  <c r="K89" i="1" s="1"/>
  <c r="L89" i="1" s="1"/>
  <c r="J89" i="1"/>
  <c r="I90" i="1"/>
  <c r="J90" i="1"/>
  <c r="K90" i="1"/>
  <c r="L90" i="1" s="1"/>
  <c r="I91" i="1"/>
  <c r="K91" i="1" s="1"/>
  <c r="L91" i="1" s="1"/>
  <c r="J91" i="1"/>
  <c r="I92" i="1"/>
  <c r="J92" i="1"/>
  <c r="K92" i="1"/>
  <c r="L92" i="1" s="1"/>
  <c r="I93" i="1"/>
  <c r="K93" i="1" s="1"/>
  <c r="L93" i="1" s="1"/>
  <c r="J93" i="1"/>
  <c r="I94" i="1"/>
  <c r="J94" i="1"/>
  <c r="K94" i="1"/>
  <c r="L94" i="1" s="1"/>
  <c r="I95" i="1"/>
  <c r="K95" i="1" s="1"/>
  <c r="L95" i="1" s="1"/>
  <c r="J95" i="1"/>
  <c r="I96" i="1"/>
  <c r="J96" i="1"/>
  <c r="K96" i="1"/>
  <c r="L96" i="1" s="1"/>
  <c r="I97" i="1"/>
  <c r="K97" i="1" s="1"/>
  <c r="L97" i="1" s="1"/>
  <c r="J97" i="1"/>
  <c r="I98" i="1"/>
  <c r="J98" i="1"/>
  <c r="K98" i="1"/>
  <c r="L98" i="1" s="1"/>
  <c r="I99" i="1"/>
  <c r="K99" i="1" s="1"/>
  <c r="L99" i="1" s="1"/>
  <c r="J99" i="1"/>
  <c r="I100" i="1"/>
  <c r="J100" i="1"/>
  <c r="K100" i="1"/>
  <c r="L100" i="1" s="1"/>
  <c r="I101" i="1"/>
  <c r="K101" i="1" s="1"/>
  <c r="L101" i="1" s="1"/>
  <c r="J101" i="1"/>
  <c r="K2" i="1"/>
  <c r="J2" i="1"/>
  <c r="I2" i="1"/>
  <c r="L2" i="1"/>
</calcChain>
</file>

<file path=xl/sharedStrings.xml><?xml version="1.0" encoding="utf-8"?>
<sst xmlns="http://schemas.openxmlformats.org/spreadsheetml/2006/main" count="356" uniqueCount="130">
  <si>
    <t>Product ID</t>
  </si>
  <si>
    <t>Sale Date</t>
  </si>
  <si>
    <t>Category</t>
  </si>
  <si>
    <t>Region</t>
  </si>
  <si>
    <t>Quantity</t>
  </si>
  <si>
    <t>Unit Cost</t>
  </si>
  <si>
    <t>Selling Price</t>
  </si>
  <si>
    <t>Discount</t>
  </si>
  <si>
    <t>PROD-1000</t>
  </si>
  <si>
    <t>PROD-1001</t>
  </si>
  <si>
    <t>PROD-1002</t>
  </si>
  <si>
    <t>PROD-1003</t>
  </si>
  <si>
    <t>PROD-1004</t>
  </si>
  <si>
    <t>PROD-1005</t>
  </si>
  <si>
    <t>PROD-1006</t>
  </si>
  <si>
    <t>PROD-1007</t>
  </si>
  <si>
    <t>PROD-1008</t>
  </si>
  <si>
    <t>PROD-1009</t>
  </si>
  <si>
    <t>PROD-1010</t>
  </si>
  <si>
    <t>PROD-1011</t>
  </si>
  <si>
    <t>PROD-1012</t>
  </si>
  <si>
    <t>PROD-1013</t>
  </si>
  <si>
    <t>PROD-1014</t>
  </si>
  <si>
    <t>PROD-1015</t>
  </si>
  <si>
    <t>PROD-1016</t>
  </si>
  <si>
    <t>PROD-1017</t>
  </si>
  <si>
    <t>PROD-1018</t>
  </si>
  <si>
    <t>PROD-1019</t>
  </si>
  <si>
    <t>PROD-1020</t>
  </si>
  <si>
    <t>PROD-1021</t>
  </si>
  <si>
    <t>PROD-1022</t>
  </si>
  <si>
    <t>PROD-1023</t>
  </si>
  <si>
    <t>PROD-1024</t>
  </si>
  <si>
    <t>PROD-1025</t>
  </si>
  <si>
    <t>PROD-1026</t>
  </si>
  <si>
    <t>PROD-1027</t>
  </si>
  <si>
    <t>PROD-1028</t>
  </si>
  <si>
    <t>PROD-1029</t>
  </si>
  <si>
    <t>PROD-1030</t>
  </si>
  <si>
    <t>PROD-1031</t>
  </si>
  <si>
    <t>PROD-1032</t>
  </si>
  <si>
    <t>PROD-1033</t>
  </si>
  <si>
    <t>PROD-1034</t>
  </si>
  <si>
    <t>PROD-1035</t>
  </si>
  <si>
    <t>PROD-1036</t>
  </si>
  <si>
    <t>PROD-1037</t>
  </si>
  <si>
    <t>PROD-1038</t>
  </si>
  <si>
    <t>PROD-1039</t>
  </si>
  <si>
    <t>PROD-1040</t>
  </si>
  <si>
    <t>PROD-1041</t>
  </si>
  <si>
    <t>PROD-1042</t>
  </si>
  <si>
    <t>PROD-1043</t>
  </si>
  <si>
    <t>PROD-1044</t>
  </si>
  <si>
    <t>PROD-1045</t>
  </si>
  <si>
    <t>PROD-1046</t>
  </si>
  <si>
    <t>PROD-1047</t>
  </si>
  <si>
    <t>PROD-1048</t>
  </si>
  <si>
    <t>PROD-1049</t>
  </si>
  <si>
    <t>PROD-1050</t>
  </si>
  <si>
    <t>PROD-1051</t>
  </si>
  <si>
    <t>PROD-1052</t>
  </si>
  <si>
    <t>PROD-1053</t>
  </si>
  <si>
    <t>PROD-1054</t>
  </si>
  <si>
    <t>PROD-1055</t>
  </si>
  <si>
    <t>PROD-1056</t>
  </si>
  <si>
    <t>PROD-1057</t>
  </si>
  <si>
    <t>PROD-1058</t>
  </si>
  <si>
    <t>PROD-1059</t>
  </si>
  <si>
    <t>PROD-1060</t>
  </si>
  <si>
    <t>PROD-1061</t>
  </si>
  <si>
    <t>PROD-1062</t>
  </si>
  <si>
    <t>PROD-1063</t>
  </si>
  <si>
    <t>PROD-1064</t>
  </si>
  <si>
    <t>PROD-1065</t>
  </si>
  <si>
    <t>PROD-1066</t>
  </si>
  <si>
    <t>PROD-1067</t>
  </si>
  <si>
    <t>PROD-1068</t>
  </si>
  <si>
    <t>PROD-1069</t>
  </si>
  <si>
    <t>PROD-1070</t>
  </si>
  <si>
    <t>PROD-1071</t>
  </si>
  <si>
    <t>PROD-1072</t>
  </si>
  <si>
    <t>PROD-1073</t>
  </si>
  <si>
    <t>PROD-1074</t>
  </si>
  <si>
    <t>PROD-1075</t>
  </si>
  <si>
    <t>PROD-1076</t>
  </si>
  <si>
    <t>PROD-1077</t>
  </si>
  <si>
    <t>PROD-1078</t>
  </si>
  <si>
    <t>PROD-1079</t>
  </si>
  <si>
    <t>PROD-1080</t>
  </si>
  <si>
    <t>PROD-1081</t>
  </si>
  <si>
    <t>PROD-1082</t>
  </si>
  <si>
    <t>PROD-1083</t>
  </si>
  <si>
    <t>PROD-1084</t>
  </si>
  <si>
    <t>PROD-1085</t>
  </si>
  <si>
    <t>PROD-1086</t>
  </si>
  <si>
    <t>PROD-1087</t>
  </si>
  <si>
    <t>PROD-1088</t>
  </si>
  <si>
    <t>PROD-1089</t>
  </si>
  <si>
    <t>PROD-1090</t>
  </si>
  <si>
    <t>PROD-1091</t>
  </si>
  <si>
    <t>PROD-1092</t>
  </si>
  <si>
    <t>PROD-1093</t>
  </si>
  <si>
    <t>PROD-1094</t>
  </si>
  <si>
    <t>PROD-1095</t>
  </si>
  <si>
    <t>PROD-1096</t>
  </si>
  <si>
    <t>PROD-1097</t>
  </si>
  <si>
    <t>PROD-1098</t>
  </si>
  <si>
    <t>PROD-1099</t>
  </si>
  <si>
    <t>Books</t>
  </si>
  <si>
    <t>Clothing</t>
  </si>
  <si>
    <t>Toys</t>
  </si>
  <si>
    <t>Electronics</t>
  </si>
  <si>
    <t>Furniture</t>
  </si>
  <si>
    <t>South</t>
  </si>
  <si>
    <t>East</t>
  </si>
  <si>
    <t>West</t>
  </si>
  <si>
    <t>North</t>
  </si>
  <si>
    <t>Revenue</t>
  </si>
  <si>
    <t>Cost</t>
  </si>
  <si>
    <t>Profit</t>
  </si>
  <si>
    <t>Profit Margin (%)</t>
  </si>
  <si>
    <t>Row Labels</t>
  </si>
  <si>
    <t>Grand Total</t>
  </si>
  <si>
    <t>Column Labels</t>
  </si>
  <si>
    <t>Sum of Revenue</t>
  </si>
  <si>
    <t>Total Sum of Revenue</t>
  </si>
  <si>
    <t>Total Sum of Profit</t>
  </si>
  <si>
    <t>Sum of Profit</t>
  </si>
  <si>
    <t>Average of Discount</t>
  </si>
  <si>
    <t>Count of Product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</si>
</sst>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9" formatCode="[$$-45C]#,##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755650</xdr:colOff>
      <xdr:row>11</xdr:row>
      <xdr:rowOff>177800</xdr:rowOff>
    </xdr:from>
    <xdr:to>
      <xdr:col>6</xdr:col>
      <xdr:colOff>755650</xdr:colOff>
      <xdr:row>25</xdr:row>
      <xdr:rowOff>123825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996C3E14-A172-CB5A-D56A-2F55421804C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79950" y="22034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6350</xdr:colOff>
      <xdr:row>12</xdr:row>
      <xdr:rowOff>12700</xdr:rowOff>
    </xdr:from>
    <xdr:to>
      <xdr:col>9</xdr:col>
      <xdr:colOff>1009650</xdr:colOff>
      <xdr:row>25</xdr:row>
      <xdr:rowOff>142875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F0695AD5-216A-5F56-48F9-E79F362028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88250" y="22225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44450</xdr:colOff>
      <xdr:row>16</xdr:row>
      <xdr:rowOff>177800</xdr:rowOff>
    </xdr:from>
    <xdr:to>
      <xdr:col>12</xdr:col>
      <xdr:colOff>1390650</xdr:colOff>
      <xdr:row>24</xdr:row>
      <xdr:rowOff>76200</xdr:rowOff>
    </xdr:to>
    <mc:AlternateContent xmlns:mc="http://schemas.openxmlformats.org/markup-compatibility/2006">
      <mc:Choice xmlns:tsle="http://schemas.microsoft.com/office/drawing/2012/timeslicer" Requires="tsle">
        <xdr:graphicFrame macro="">
          <xdr:nvGraphicFramePr>
            <xdr:cNvPr id="4" name="Sale Date">
              <a:extLst>
                <a:ext uri="{FF2B5EF4-FFF2-40B4-BE49-F238E27FC236}">
                  <a16:creationId xmlns:a16="http://schemas.microsoft.com/office/drawing/2014/main" id="{49F2739C-7BDE-C83D-45B8-7240B6C0FCB6}"/>
                </a:ext>
              </a:extLst>
            </xdr:cNvPr>
            <xdr:cNvGraphicFramePr/>
          </xdr:nvGraphicFramePr>
          <xdr:xfrm>
            <a:off x="0" y="0"/>
            <a:ext cx="0" cy="0"/>
          </xdr:xfrm>
          <a:graphic>
            <a:graphicData uri="http://schemas.microsoft.com/office/drawing/2012/timeslicer">
              <tsle:timeslicer xmlns:tsle="http://schemas.microsoft.com/office/drawing/2012/timeslicer" name="Sale Date"/>
            </a:graphicData>
          </a:graphic>
        </xdr:graphicFrame>
      </mc:Choice>
      <mc:Fallback>
        <xdr:sp macro="" textlink="">
          <xdr:nvSpPr>
            <xdr:cNvPr id="0" name=""/>
            <xdr:cNvSpPr>
              <a:spLocks noTextEdit="1"/>
            </xdr:cNvSpPr>
          </xdr:nvSpPr>
          <xdr:spPr>
            <a:xfrm>
              <a:off x="9791700" y="3124200"/>
              <a:ext cx="3333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rvine Olwal" refreshedDate="46055.999740740743" createdVersion="8" refreshedVersion="8" minRefreshableVersion="3" recordCount="100" xr:uid="{1C94F370-8B8A-47EC-AE14-1D5ED5E5B4DC}">
  <cacheSource type="worksheet">
    <worksheetSource ref="A1:L101" sheet="Sheet1"/>
  </cacheSource>
  <cacheFields count="12">
    <cacheField name="Product ID" numFmtId="0">
      <sharedItems count="100">
        <s v="PROD-1000"/>
        <s v="PROD-1001"/>
        <s v="PROD-1002"/>
        <s v="PROD-1003"/>
        <s v="PROD-1004"/>
        <s v="PROD-1005"/>
        <s v="PROD-1006"/>
        <s v="PROD-1007"/>
        <s v="PROD-1008"/>
        <s v="PROD-1009"/>
        <s v="PROD-1010"/>
        <s v="PROD-1011"/>
        <s v="PROD-1012"/>
        <s v="PROD-1013"/>
        <s v="PROD-1014"/>
        <s v="PROD-1015"/>
        <s v="PROD-1016"/>
        <s v="PROD-1017"/>
        <s v="PROD-1018"/>
        <s v="PROD-1019"/>
        <s v="PROD-1020"/>
        <s v="PROD-1021"/>
        <s v="PROD-1022"/>
        <s v="PROD-1023"/>
        <s v="PROD-1024"/>
        <s v="PROD-1025"/>
        <s v="PROD-1026"/>
        <s v="PROD-1027"/>
        <s v="PROD-1028"/>
        <s v="PROD-1029"/>
        <s v="PROD-1030"/>
        <s v="PROD-1031"/>
        <s v="PROD-1032"/>
        <s v="PROD-1033"/>
        <s v="PROD-1034"/>
        <s v="PROD-1035"/>
        <s v="PROD-1036"/>
        <s v="PROD-1037"/>
        <s v="PROD-1038"/>
        <s v="PROD-1039"/>
        <s v="PROD-1040"/>
        <s v="PROD-1041"/>
        <s v="PROD-1042"/>
        <s v="PROD-1043"/>
        <s v="PROD-1044"/>
        <s v="PROD-1045"/>
        <s v="PROD-1046"/>
        <s v="PROD-1047"/>
        <s v="PROD-1048"/>
        <s v="PROD-1049"/>
        <s v="PROD-1050"/>
        <s v="PROD-1051"/>
        <s v="PROD-1052"/>
        <s v="PROD-1053"/>
        <s v="PROD-1054"/>
        <s v="PROD-1055"/>
        <s v="PROD-1056"/>
        <s v="PROD-1057"/>
        <s v="PROD-1058"/>
        <s v="PROD-1059"/>
        <s v="PROD-1060"/>
        <s v="PROD-1061"/>
        <s v="PROD-1062"/>
        <s v="PROD-1063"/>
        <s v="PROD-1064"/>
        <s v="PROD-1065"/>
        <s v="PROD-1066"/>
        <s v="PROD-1067"/>
        <s v="PROD-1068"/>
        <s v="PROD-1069"/>
        <s v="PROD-1070"/>
        <s v="PROD-1071"/>
        <s v="PROD-1072"/>
        <s v="PROD-1073"/>
        <s v="PROD-1074"/>
        <s v="PROD-1075"/>
        <s v="PROD-1076"/>
        <s v="PROD-1077"/>
        <s v="PROD-1078"/>
        <s v="PROD-1079"/>
        <s v="PROD-1080"/>
        <s v="PROD-1081"/>
        <s v="PROD-1082"/>
        <s v="PROD-1083"/>
        <s v="PROD-1084"/>
        <s v="PROD-1085"/>
        <s v="PROD-1086"/>
        <s v="PROD-1087"/>
        <s v="PROD-1088"/>
        <s v="PROD-1089"/>
        <s v="PROD-1090"/>
        <s v="PROD-1091"/>
        <s v="PROD-1092"/>
        <s v="PROD-1093"/>
        <s v="PROD-1094"/>
        <s v="PROD-1095"/>
        <s v="PROD-1096"/>
        <s v="PROD-1097"/>
        <s v="PROD-1098"/>
        <s v="PROD-1099"/>
      </sharedItems>
    </cacheField>
    <cacheField name="Sale Date" numFmtId="164">
      <sharedItems containsSemiMixedTypes="0" containsNonDate="0" containsDate="1" containsString="0" minDate="2023-01-03T00:00:00" maxDate="2023-12-26T00:00:00" count="86">
        <d v="2023-07-20T00:00:00"/>
        <d v="2023-11-08T00:00:00"/>
        <d v="2023-05-07T00:00:00"/>
        <d v="2023-10-19T00:00:00"/>
        <d v="2023-07-11T00:00:00"/>
        <d v="2023-11-24T00:00:00"/>
        <d v="2023-05-04T00:00:00"/>
        <d v="2023-08-24T00:00:00"/>
        <d v="2023-03-22T00:00:00"/>
        <d v="2023-05-02T00:00:00"/>
        <d v="2023-08-12T00:00:00"/>
        <d v="2023-06-02T00:00:00"/>
        <d v="2023-12-21T00:00:00"/>
        <d v="2023-01-12T00:00:00"/>
        <d v="2023-10-22T00:00:00"/>
        <d v="2023-12-25T00:00:00"/>
        <d v="2023-01-27T00:00:00"/>
        <d v="2023-11-10T00:00:00"/>
        <d v="2023-12-16T00:00:00"/>
        <d v="2023-03-12T00:00:00"/>
        <d v="2023-09-03T00:00:00"/>
        <d v="2023-05-19T00:00:00"/>
        <d v="2023-07-21T00:00:00"/>
        <d v="2023-09-07T00:00:00"/>
        <d v="2023-02-04T00:00:00"/>
        <d v="2023-09-14T00:00:00"/>
        <d v="2023-02-26T00:00:00"/>
        <d v="2023-09-26T00:00:00"/>
        <d v="2023-04-15T00:00:00"/>
        <d v="2023-12-07T00:00:00"/>
        <d v="2023-12-08T00:00:00"/>
        <d v="2023-03-14T00:00:00"/>
        <d v="2023-01-04T00:00:00"/>
        <d v="2023-02-08T00:00:00"/>
        <d v="2023-04-02T00:00:00"/>
        <d v="2023-06-22T00:00:00"/>
        <d v="2023-10-04T00:00:00"/>
        <d v="2023-06-18T00:00:00"/>
        <d v="2023-10-12T00:00:00"/>
        <d v="2023-02-10T00:00:00"/>
        <d v="2023-04-14T00:00:00"/>
        <d v="2023-08-14T00:00:00"/>
        <d v="2023-07-25T00:00:00"/>
        <d v="2023-08-21T00:00:00"/>
        <d v="2023-02-15T00:00:00"/>
        <d v="2023-05-24T00:00:00"/>
        <d v="2023-10-25T00:00:00"/>
        <d v="2023-12-13T00:00:00"/>
        <d v="2023-09-15T00:00:00"/>
        <d v="2023-01-25T00:00:00"/>
        <d v="2023-07-09T00:00:00"/>
        <d v="2023-08-01T00:00:00"/>
        <d v="2023-08-11T00:00:00"/>
        <d v="2023-03-17T00:00:00"/>
        <d v="2023-08-03T00:00:00"/>
        <d v="2023-03-01T00:00:00"/>
        <d v="2023-11-05T00:00:00"/>
        <d v="2023-10-07T00:00:00"/>
        <d v="2023-10-09T00:00:00"/>
        <d v="2023-09-08T00:00:00"/>
        <d v="2023-12-02T00:00:00"/>
        <d v="2023-01-16T00:00:00"/>
        <d v="2023-07-23T00:00:00"/>
        <d v="2023-08-05T00:00:00"/>
        <d v="2023-08-22T00:00:00"/>
        <d v="2023-11-03T00:00:00"/>
        <d v="2023-01-03T00:00:00"/>
        <d v="2023-05-15T00:00:00"/>
        <d v="2023-05-26T00:00:00"/>
        <d v="2023-07-14T00:00:00"/>
        <d v="2023-07-27T00:00:00"/>
        <d v="2023-10-10T00:00:00"/>
        <d v="2023-03-07T00:00:00"/>
        <d v="2023-01-20T00:00:00"/>
        <d v="2023-04-05T00:00:00"/>
        <d v="2023-07-07T00:00:00"/>
        <d v="2023-11-04T00:00:00"/>
        <d v="2023-10-13T00:00:00"/>
        <d v="2023-09-21T00:00:00"/>
        <d v="2023-06-12T00:00:00"/>
        <d v="2023-12-20T00:00:00"/>
        <d v="2023-11-26T00:00:00"/>
        <d v="2023-07-01T00:00:00"/>
        <d v="2023-11-25T00:00:00"/>
        <d v="2023-04-13T00:00:00"/>
        <d v="2023-07-06T00:00:00"/>
      </sharedItems>
    </cacheField>
    <cacheField name="Category" numFmtId="0">
      <sharedItems count="5">
        <s v="Books"/>
        <s v="Clothing"/>
        <s v="Toys"/>
        <s v="Electronics"/>
        <s v="Furniture"/>
      </sharedItems>
    </cacheField>
    <cacheField name="Region" numFmtId="0">
      <sharedItems count="4">
        <s v="South"/>
        <s v="East"/>
        <s v="West"/>
        <s v="North"/>
      </sharedItems>
    </cacheField>
    <cacheField name="Quantity" numFmtId="0">
      <sharedItems containsSemiMixedTypes="0" containsString="0" containsNumber="1" containsInteger="1" minValue="1" maxValue="19"/>
    </cacheField>
    <cacheField name="Unit Cost" numFmtId="0">
      <sharedItems containsSemiMixedTypes="0" containsString="0" containsNumber="1" minValue="12.6" maxValue="199.21"/>
    </cacheField>
    <cacheField name="Selling Price" numFmtId="0">
      <sharedItems containsSemiMixedTypes="0" containsString="0" containsNumber="1" minValue="13.96" maxValue="298.79000000000002"/>
    </cacheField>
    <cacheField name="Discount" numFmtId="0">
      <sharedItems containsSemiMixedTypes="0" containsString="0" containsNumber="1" containsInteger="1" minValue="0" maxValue="50" count="7">
        <n v="50"/>
        <n v="20"/>
        <n v="45"/>
        <n v="5"/>
        <n v="10"/>
        <n v="15"/>
        <n v="0"/>
      </sharedItems>
    </cacheField>
    <cacheField name="Revenue" numFmtId="0">
      <sharedItems containsSemiMixedTypes="0" containsString="0" containsNumber="1" minValue="28.9" maxValue="4835.03"/>
    </cacheField>
    <cacheField name="Cost" numFmtId="0">
      <sharedItems containsSemiMixedTypes="0" containsString="0" containsNumber="1" minValue="21.24" maxValue="3646.48"/>
    </cacheField>
    <cacheField name="Profit" numFmtId="0">
      <sharedItems containsSemiMixedTypes="0" containsString="0" containsNumber="1" minValue="-1865.5700000000002" maxValue="3562.79"/>
    </cacheField>
    <cacheField name="Profit Margin (%)" numFmtId="0">
      <sharedItems containsSemiMixedTypes="0" containsString="0" containsNumber="1" minValue="-776.16" maxValue="94.04"/>
    </cacheField>
  </cacheFields>
  <extLst>
    <ext xmlns:x14="http://schemas.microsoft.com/office/spreadsheetml/2009/9/main" uri="{725AE2AE-9491-48be-B2B4-4EB974FC3084}">
      <x14:pivotCacheDefinition pivotCacheId="1780048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n v="15"/>
    <n v="174.1"/>
    <n v="127.51"/>
    <x v="0"/>
    <n v="956.33"/>
    <n v="2611.5"/>
    <n v="-1655.17"/>
    <n v="-173.08"/>
  </r>
  <r>
    <x v="1"/>
    <x v="1"/>
    <x v="1"/>
    <x v="0"/>
    <n v="2"/>
    <n v="129.1"/>
    <n v="175.73"/>
    <x v="0"/>
    <n v="175.73"/>
    <n v="258.2"/>
    <n v="-82.47"/>
    <n v="-46.93"/>
  </r>
  <r>
    <x v="2"/>
    <x v="2"/>
    <x v="2"/>
    <x v="1"/>
    <n v="10"/>
    <n v="161.19"/>
    <n v="224.88"/>
    <x v="0"/>
    <n v="1124.4000000000001"/>
    <n v="1611.9"/>
    <n v="-487.5"/>
    <n v="-43.36"/>
  </r>
  <r>
    <x v="3"/>
    <x v="3"/>
    <x v="1"/>
    <x v="2"/>
    <n v="2"/>
    <n v="137.05000000000001"/>
    <n v="232.49"/>
    <x v="0"/>
    <n v="232.49"/>
    <n v="274.10000000000002"/>
    <n v="-41.610000000000014"/>
    <n v="-17.899999999999999"/>
  </r>
  <r>
    <x v="4"/>
    <x v="4"/>
    <x v="0"/>
    <x v="3"/>
    <n v="17"/>
    <n v="116.81"/>
    <n v="248.61"/>
    <x v="1"/>
    <n v="3381.1"/>
    <n v="1985.77"/>
    <n v="1395.33"/>
    <n v="41.27"/>
  </r>
  <r>
    <x v="5"/>
    <x v="5"/>
    <x v="3"/>
    <x v="3"/>
    <n v="8"/>
    <n v="30.06"/>
    <n v="225.82"/>
    <x v="1"/>
    <n v="1445.25"/>
    <n v="240.48"/>
    <n v="1204.77"/>
    <n v="83.36"/>
  </r>
  <r>
    <x v="6"/>
    <x v="6"/>
    <x v="4"/>
    <x v="2"/>
    <n v="1"/>
    <n v="163.18"/>
    <n v="207.5"/>
    <x v="2"/>
    <n v="114.13"/>
    <n v="163.18"/>
    <n v="-49.050000000000011"/>
    <n v="-42.98"/>
  </r>
  <r>
    <x v="7"/>
    <x v="7"/>
    <x v="0"/>
    <x v="3"/>
    <n v="9"/>
    <n v="165.02"/>
    <n v="78.88"/>
    <x v="3"/>
    <n v="674.42"/>
    <n v="1485.18"/>
    <n v="-810.7600000000001"/>
    <n v="-120.22"/>
  </r>
  <r>
    <x v="8"/>
    <x v="8"/>
    <x v="1"/>
    <x v="2"/>
    <n v="11"/>
    <n v="127.06"/>
    <n v="126.06"/>
    <x v="4"/>
    <n v="1247.99"/>
    <n v="1397.66"/>
    <n v="-149.67000000000007"/>
    <n v="-11.99"/>
  </r>
  <r>
    <x v="9"/>
    <x v="9"/>
    <x v="4"/>
    <x v="3"/>
    <n v="16"/>
    <n v="164.98"/>
    <n v="148.54"/>
    <x v="4"/>
    <n v="2138.98"/>
    <n v="2639.68"/>
    <n v="-500.69999999999982"/>
    <n v="-23.41"/>
  </r>
  <r>
    <x v="10"/>
    <x v="10"/>
    <x v="1"/>
    <x v="0"/>
    <n v="7"/>
    <n v="132.04"/>
    <n v="34.04"/>
    <x v="0"/>
    <n v="119.14"/>
    <n v="924.28"/>
    <n v="-805.14"/>
    <n v="-675.79"/>
  </r>
  <r>
    <x v="11"/>
    <x v="11"/>
    <x v="1"/>
    <x v="3"/>
    <n v="10"/>
    <n v="45.3"/>
    <n v="163.22999999999999"/>
    <x v="2"/>
    <n v="897.77"/>
    <n v="453"/>
    <n v="444.77"/>
    <n v="49.54"/>
  </r>
  <r>
    <x v="12"/>
    <x v="12"/>
    <x v="3"/>
    <x v="2"/>
    <n v="3"/>
    <n v="58.42"/>
    <n v="136.54"/>
    <x v="5"/>
    <n v="348.18"/>
    <n v="175.26"/>
    <n v="172.92000000000002"/>
    <n v="49.66"/>
  </r>
  <r>
    <x v="13"/>
    <x v="13"/>
    <x v="4"/>
    <x v="2"/>
    <n v="18"/>
    <n v="46.84"/>
    <n v="242.61"/>
    <x v="3"/>
    <n v="4148.63"/>
    <n v="843.12"/>
    <n v="3305.51"/>
    <n v="79.680000000000007"/>
  </r>
  <r>
    <x v="14"/>
    <x v="14"/>
    <x v="4"/>
    <x v="2"/>
    <n v="13"/>
    <n v="78.569999999999993"/>
    <n v="293.58999999999997"/>
    <x v="2"/>
    <n v="2099.17"/>
    <n v="1021.41"/>
    <n v="1077.7600000000002"/>
    <n v="51.34"/>
  </r>
  <r>
    <x v="15"/>
    <x v="15"/>
    <x v="3"/>
    <x v="2"/>
    <n v="7"/>
    <n v="12.6"/>
    <n v="171.24"/>
    <x v="3"/>
    <n v="1138.75"/>
    <n v="88.2"/>
    <n v="1050.55"/>
    <n v="92.25"/>
  </r>
  <r>
    <x v="16"/>
    <x v="16"/>
    <x v="0"/>
    <x v="2"/>
    <n v="4"/>
    <n v="125.56"/>
    <n v="103.58"/>
    <x v="3"/>
    <n v="393.6"/>
    <n v="502.24"/>
    <n v="-108.63999999999999"/>
    <n v="-27.6"/>
  </r>
  <r>
    <x v="17"/>
    <x v="17"/>
    <x v="1"/>
    <x v="1"/>
    <n v="13"/>
    <n v="70.63"/>
    <n v="22.59"/>
    <x v="3"/>
    <n v="278.99"/>
    <n v="918.19"/>
    <n v="-639.20000000000005"/>
    <n v="-229.11"/>
  </r>
  <r>
    <x v="18"/>
    <x v="18"/>
    <x v="2"/>
    <x v="1"/>
    <n v="1"/>
    <n v="132.87"/>
    <n v="278.14999999999998"/>
    <x v="2"/>
    <n v="152.97999999999999"/>
    <n v="132.87"/>
    <n v="20.109999999999985"/>
    <n v="13.15"/>
  </r>
  <r>
    <x v="19"/>
    <x v="19"/>
    <x v="1"/>
    <x v="3"/>
    <n v="8"/>
    <n v="80.150000000000006"/>
    <n v="276.54000000000002"/>
    <x v="0"/>
    <n v="1106.1600000000001"/>
    <n v="641.20000000000005"/>
    <n v="464.96000000000004"/>
    <n v="42.03"/>
  </r>
  <r>
    <x v="20"/>
    <x v="0"/>
    <x v="1"/>
    <x v="2"/>
    <n v="14"/>
    <n v="137.91"/>
    <n v="83.37"/>
    <x v="4"/>
    <n v="1050.46"/>
    <n v="1930.74"/>
    <n v="-880.28"/>
    <n v="-83.8"/>
  </r>
  <r>
    <x v="21"/>
    <x v="20"/>
    <x v="0"/>
    <x v="3"/>
    <n v="16"/>
    <n v="71.42"/>
    <n v="211.67"/>
    <x v="4"/>
    <n v="3048.05"/>
    <n v="1142.72"/>
    <n v="1905.3300000000002"/>
    <n v="62.51"/>
  </r>
  <r>
    <x v="22"/>
    <x v="21"/>
    <x v="1"/>
    <x v="2"/>
    <n v="14"/>
    <n v="55.84"/>
    <n v="31.88"/>
    <x v="0"/>
    <n v="223.16"/>
    <n v="781.76"/>
    <n v="-558.6"/>
    <n v="-250.31"/>
  </r>
  <r>
    <x v="23"/>
    <x v="22"/>
    <x v="3"/>
    <x v="2"/>
    <n v="12"/>
    <n v="101.73"/>
    <n v="58.2"/>
    <x v="3"/>
    <n v="663.48"/>
    <n v="1220.76"/>
    <n v="-557.28"/>
    <n v="-83.99"/>
  </r>
  <r>
    <x v="24"/>
    <x v="23"/>
    <x v="3"/>
    <x v="1"/>
    <n v="19"/>
    <n v="140.11000000000001"/>
    <n v="72.87"/>
    <x v="5"/>
    <n v="1176.8499999999999"/>
    <n v="2662.09"/>
    <n v="-1485.2400000000002"/>
    <n v="-126.2"/>
  </r>
  <r>
    <x v="25"/>
    <x v="24"/>
    <x v="4"/>
    <x v="1"/>
    <n v="15"/>
    <n v="72.930000000000007"/>
    <n v="95.4"/>
    <x v="6"/>
    <n v="1431"/>
    <n v="1093.95"/>
    <n v="337.04999999999995"/>
    <n v="23.55"/>
  </r>
  <r>
    <x v="26"/>
    <x v="25"/>
    <x v="2"/>
    <x v="0"/>
    <n v="2"/>
    <n v="187.65"/>
    <n v="298.79000000000002"/>
    <x v="2"/>
    <n v="328.67"/>
    <n v="375.3"/>
    <n v="-46.629999999999995"/>
    <n v="-14.19"/>
  </r>
  <r>
    <x v="27"/>
    <x v="26"/>
    <x v="1"/>
    <x v="1"/>
    <n v="2"/>
    <n v="12.64"/>
    <n v="212.11"/>
    <x v="6"/>
    <n v="424.22"/>
    <n v="25.28"/>
    <n v="398.94000000000005"/>
    <n v="94.04"/>
  </r>
  <r>
    <x v="28"/>
    <x v="27"/>
    <x v="1"/>
    <x v="0"/>
    <n v="19"/>
    <n v="86.5"/>
    <n v="121.42"/>
    <x v="0"/>
    <n v="1153.49"/>
    <n v="1643.5"/>
    <n v="-490.01"/>
    <n v="-42.48"/>
  </r>
  <r>
    <x v="29"/>
    <x v="9"/>
    <x v="0"/>
    <x v="0"/>
    <n v="17"/>
    <n v="193.68"/>
    <n v="223.76"/>
    <x v="5"/>
    <n v="3233.33"/>
    <n v="3292.56"/>
    <n v="-59.230000000000018"/>
    <n v="-1.83"/>
  </r>
  <r>
    <x v="30"/>
    <x v="28"/>
    <x v="3"/>
    <x v="0"/>
    <n v="10"/>
    <n v="111.85"/>
    <n v="275.42"/>
    <x v="2"/>
    <n v="1514.81"/>
    <n v="1118.5"/>
    <n v="396.30999999999995"/>
    <n v="26.16"/>
  </r>
  <r>
    <x v="31"/>
    <x v="29"/>
    <x v="2"/>
    <x v="0"/>
    <n v="6"/>
    <n v="87.58"/>
    <n v="288.02"/>
    <x v="0"/>
    <n v="864.06"/>
    <n v="525.48"/>
    <n v="338.57999999999993"/>
    <n v="39.18"/>
  </r>
  <r>
    <x v="32"/>
    <x v="30"/>
    <x v="4"/>
    <x v="0"/>
    <n v="15"/>
    <n v="115.86"/>
    <n v="26.78"/>
    <x v="3"/>
    <n v="381.62"/>
    <n v="1737.9"/>
    <n v="-1356.2800000000002"/>
    <n v="-355.4"/>
  </r>
  <r>
    <x v="33"/>
    <x v="31"/>
    <x v="3"/>
    <x v="3"/>
    <n v="11"/>
    <n v="117.31"/>
    <n v="124.41"/>
    <x v="4"/>
    <n v="1231.6600000000001"/>
    <n v="1290.4100000000001"/>
    <n v="-58.75"/>
    <n v="-4.7699999999999996"/>
  </r>
  <r>
    <x v="34"/>
    <x v="32"/>
    <x v="4"/>
    <x v="1"/>
    <n v="5"/>
    <n v="147.66999999999999"/>
    <n v="40.96"/>
    <x v="6"/>
    <n v="204.8"/>
    <n v="738.35"/>
    <n v="-533.54999999999995"/>
    <n v="-260.52"/>
  </r>
  <r>
    <x v="35"/>
    <x v="33"/>
    <x v="0"/>
    <x v="0"/>
    <n v="1"/>
    <n v="29.9"/>
    <n v="107.34"/>
    <x v="1"/>
    <n v="85.87"/>
    <n v="29.9"/>
    <n v="55.970000000000006"/>
    <n v="65.180000000000007"/>
  </r>
  <r>
    <x v="36"/>
    <x v="34"/>
    <x v="0"/>
    <x v="2"/>
    <n v="8"/>
    <n v="53.75"/>
    <n v="59.21"/>
    <x v="1"/>
    <n v="378.94"/>
    <n v="430"/>
    <n v="-51.06"/>
    <n v="-13.47"/>
  </r>
  <r>
    <x v="37"/>
    <x v="35"/>
    <x v="1"/>
    <x v="1"/>
    <n v="12"/>
    <n v="118.21"/>
    <n v="197.59"/>
    <x v="5"/>
    <n v="2015.42"/>
    <n v="1418.52"/>
    <n v="596.90000000000009"/>
    <n v="29.62"/>
  </r>
  <r>
    <x v="38"/>
    <x v="36"/>
    <x v="2"/>
    <x v="1"/>
    <n v="12"/>
    <n v="174.09"/>
    <n v="122.6"/>
    <x v="3"/>
    <n v="1397.64"/>
    <n v="2089.08"/>
    <n v="-691.43999999999983"/>
    <n v="-49.47"/>
  </r>
  <r>
    <x v="39"/>
    <x v="37"/>
    <x v="4"/>
    <x v="0"/>
    <n v="5"/>
    <n v="114.56"/>
    <n v="76.52"/>
    <x v="6"/>
    <n v="382.6"/>
    <n v="572.79999999999995"/>
    <n v="-190.19999999999993"/>
    <n v="-49.71"/>
  </r>
  <r>
    <x v="40"/>
    <x v="38"/>
    <x v="3"/>
    <x v="3"/>
    <n v="7"/>
    <n v="51.53"/>
    <n v="87.12"/>
    <x v="3"/>
    <n v="579.35"/>
    <n v="360.71"/>
    <n v="218.64000000000004"/>
    <n v="37.74"/>
  </r>
  <r>
    <x v="41"/>
    <x v="39"/>
    <x v="0"/>
    <x v="0"/>
    <n v="4"/>
    <n v="137.57"/>
    <n v="114.5"/>
    <x v="6"/>
    <n v="458"/>
    <n v="550.28"/>
    <n v="-92.279999999999973"/>
    <n v="-20.149999999999999"/>
  </r>
  <r>
    <x v="42"/>
    <x v="40"/>
    <x v="1"/>
    <x v="3"/>
    <n v="6"/>
    <n v="149.28"/>
    <n v="85.39"/>
    <x v="5"/>
    <n v="435.49"/>
    <n v="895.68"/>
    <n v="-460.18999999999994"/>
    <n v="-105.67"/>
  </r>
  <r>
    <x v="43"/>
    <x v="41"/>
    <x v="1"/>
    <x v="2"/>
    <n v="13"/>
    <n v="51.46"/>
    <n v="141.44"/>
    <x v="5"/>
    <n v="1562.91"/>
    <n v="668.98"/>
    <n v="893.93000000000006"/>
    <n v="57.2"/>
  </r>
  <r>
    <x v="44"/>
    <x v="42"/>
    <x v="4"/>
    <x v="1"/>
    <n v="15"/>
    <n v="78.66"/>
    <n v="19.37"/>
    <x v="1"/>
    <n v="232.44"/>
    <n v="1179.9000000000001"/>
    <n v="-947.46"/>
    <n v="-407.61"/>
  </r>
  <r>
    <x v="45"/>
    <x v="43"/>
    <x v="0"/>
    <x v="2"/>
    <n v="3"/>
    <n v="109.19"/>
    <n v="91.13"/>
    <x v="3"/>
    <n v="259.72000000000003"/>
    <n v="327.57"/>
    <n v="-67.849999999999966"/>
    <n v="-26.12"/>
  </r>
  <r>
    <x v="46"/>
    <x v="44"/>
    <x v="2"/>
    <x v="3"/>
    <n v="8"/>
    <n v="101.83"/>
    <n v="129.25"/>
    <x v="2"/>
    <n v="568.70000000000005"/>
    <n v="814.64"/>
    <n v="-245.93999999999994"/>
    <n v="-43.25"/>
  </r>
  <r>
    <x v="47"/>
    <x v="45"/>
    <x v="0"/>
    <x v="3"/>
    <n v="16"/>
    <n v="80.98"/>
    <n v="184.81"/>
    <x v="1"/>
    <n v="2365.5700000000002"/>
    <n v="1295.68"/>
    <n v="1069.8900000000001"/>
    <n v="45.23"/>
  </r>
  <r>
    <x v="48"/>
    <x v="46"/>
    <x v="4"/>
    <x v="2"/>
    <n v="13"/>
    <n v="63.04"/>
    <n v="88.58"/>
    <x v="3"/>
    <n v="1093.96"/>
    <n v="819.52"/>
    <n v="274.44000000000005"/>
    <n v="25.09"/>
  </r>
  <r>
    <x v="49"/>
    <x v="47"/>
    <x v="4"/>
    <x v="3"/>
    <n v="18"/>
    <n v="24.5"/>
    <n v="48.62"/>
    <x v="1"/>
    <n v="700.13"/>
    <n v="441"/>
    <n v="259.13"/>
    <n v="37.01"/>
  </r>
  <r>
    <x v="50"/>
    <x v="48"/>
    <x v="0"/>
    <x v="2"/>
    <n v="10"/>
    <n v="15.43"/>
    <n v="32.1"/>
    <x v="2"/>
    <n v="176.55"/>
    <n v="154.30000000000001"/>
    <n v="22.25"/>
    <n v="12.6"/>
  </r>
  <r>
    <x v="51"/>
    <x v="49"/>
    <x v="4"/>
    <x v="1"/>
    <n v="19"/>
    <n v="191.92"/>
    <n v="282.75"/>
    <x v="4"/>
    <n v="4835.03"/>
    <n v="3646.48"/>
    <n v="1188.5499999999997"/>
    <n v="24.58"/>
  </r>
  <r>
    <x v="52"/>
    <x v="50"/>
    <x v="0"/>
    <x v="2"/>
    <n v="17"/>
    <n v="170.19"/>
    <n v="130.83000000000001"/>
    <x v="4"/>
    <n v="2001.7"/>
    <n v="2893.23"/>
    <n v="-891.53"/>
    <n v="-44.54"/>
  </r>
  <r>
    <x v="53"/>
    <x v="51"/>
    <x v="3"/>
    <x v="1"/>
    <n v="19"/>
    <n v="74.209999999999994"/>
    <n v="178.54"/>
    <x v="4"/>
    <n v="3053.03"/>
    <n v="1409.99"/>
    <n v="1643.0400000000002"/>
    <n v="53.82"/>
  </r>
  <r>
    <x v="54"/>
    <x v="30"/>
    <x v="0"/>
    <x v="2"/>
    <n v="5"/>
    <n v="191.58"/>
    <n v="276.56"/>
    <x v="4"/>
    <n v="1244.52"/>
    <n v="957.9"/>
    <n v="286.62"/>
    <n v="23.03"/>
  </r>
  <r>
    <x v="55"/>
    <x v="52"/>
    <x v="0"/>
    <x v="3"/>
    <n v="9"/>
    <n v="136.97"/>
    <n v="34"/>
    <x v="0"/>
    <n v="153"/>
    <n v="1232.73"/>
    <n v="-1079.73"/>
    <n v="-705.71"/>
  </r>
  <r>
    <x v="56"/>
    <x v="53"/>
    <x v="4"/>
    <x v="2"/>
    <n v="12"/>
    <n v="99.09"/>
    <n v="264.23"/>
    <x v="6"/>
    <n v="3170.76"/>
    <n v="1189.08"/>
    <n v="1981.6800000000003"/>
    <n v="62.5"/>
  </r>
  <r>
    <x v="57"/>
    <x v="54"/>
    <x v="4"/>
    <x v="3"/>
    <n v="1"/>
    <n v="101.14"/>
    <n v="169.96"/>
    <x v="0"/>
    <n v="84.98"/>
    <n v="101.14"/>
    <n v="-16.159999999999997"/>
    <n v="-19.02"/>
  </r>
  <r>
    <x v="58"/>
    <x v="55"/>
    <x v="1"/>
    <x v="2"/>
    <n v="1"/>
    <n v="21.24"/>
    <n v="57.8"/>
    <x v="0"/>
    <n v="28.9"/>
    <n v="21.24"/>
    <n v="7.66"/>
    <n v="26.51"/>
  </r>
  <r>
    <x v="59"/>
    <x v="56"/>
    <x v="1"/>
    <x v="2"/>
    <n v="15"/>
    <n v="22.88"/>
    <n v="129.26"/>
    <x v="0"/>
    <n v="969.45"/>
    <n v="343.2"/>
    <n v="626.25"/>
    <n v="64.599999999999994"/>
  </r>
  <r>
    <x v="60"/>
    <x v="57"/>
    <x v="3"/>
    <x v="0"/>
    <n v="2"/>
    <n v="122.48"/>
    <n v="235.5"/>
    <x v="4"/>
    <n v="423.9"/>
    <n v="244.96"/>
    <n v="178.93999999999997"/>
    <n v="42.21"/>
  </r>
  <r>
    <x v="61"/>
    <x v="58"/>
    <x v="1"/>
    <x v="3"/>
    <n v="16"/>
    <n v="112.97"/>
    <n v="149.31"/>
    <x v="2"/>
    <n v="1313.93"/>
    <n v="1807.52"/>
    <n v="-493.58999999999992"/>
    <n v="-37.57"/>
  </r>
  <r>
    <x v="62"/>
    <x v="29"/>
    <x v="0"/>
    <x v="0"/>
    <n v="8"/>
    <n v="46.48"/>
    <n v="295.73"/>
    <x v="5"/>
    <n v="2010.96"/>
    <n v="371.84"/>
    <n v="1639.1200000000001"/>
    <n v="81.510000000000005"/>
  </r>
  <r>
    <x v="63"/>
    <x v="59"/>
    <x v="4"/>
    <x v="3"/>
    <n v="13"/>
    <n v="189.51"/>
    <n v="119.25"/>
    <x v="5"/>
    <n v="1317.71"/>
    <n v="2463.63"/>
    <n v="-1145.92"/>
    <n v="-86.96"/>
  </r>
  <r>
    <x v="64"/>
    <x v="60"/>
    <x v="1"/>
    <x v="0"/>
    <n v="1"/>
    <n v="157.35"/>
    <n v="227.38"/>
    <x v="6"/>
    <n v="227.38"/>
    <n v="157.35"/>
    <n v="70.03"/>
    <n v="30.8"/>
  </r>
  <r>
    <x v="65"/>
    <x v="61"/>
    <x v="1"/>
    <x v="1"/>
    <n v="16"/>
    <n v="27.13"/>
    <n v="123.97"/>
    <x v="4"/>
    <n v="1785.17"/>
    <n v="434.08"/>
    <n v="1351.0900000000001"/>
    <n v="75.680000000000007"/>
  </r>
  <r>
    <x v="66"/>
    <x v="62"/>
    <x v="3"/>
    <x v="2"/>
    <n v="7"/>
    <n v="186.53"/>
    <n v="250.46"/>
    <x v="4"/>
    <n v="1577.9"/>
    <n v="1305.71"/>
    <n v="272.19000000000005"/>
    <n v="17.25"/>
  </r>
  <r>
    <x v="67"/>
    <x v="63"/>
    <x v="3"/>
    <x v="3"/>
    <n v="5"/>
    <n v="194.98"/>
    <n v="175.03"/>
    <x v="4"/>
    <n v="787.64"/>
    <n v="974.9"/>
    <n v="-187.26"/>
    <n v="-23.77"/>
  </r>
  <r>
    <x v="68"/>
    <x v="19"/>
    <x v="0"/>
    <x v="3"/>
    <n v="3"/>
    <n v="199.21"/>
    <n v="28.42"/>
    <x v="1"/>
    <n v="68.209999999999994"/>
    <n v="597.63"/>
    <n v="-529.41999999999996"/>
    <n v="-776.16"/>
  </r>
  <r>
    <x v="69"/>
    <x v="64"/>
    <x v="4"/>
    <x v="2"/>
    <n v="12"/>
    <n v="15.89"/>
    <n v="20.68"/>
    <x v="3"/>
    <n v="235.75"/>
    <n v="190.68"/>
    <n v="45.069999999999993"/>
    <n v="19.12"/>
  </r>
  <r>
    <x v="70"/>
    <x v="65"/>
    <x v="3"/>
    <x v="3"/>
    <n v="16"/>
    <n v="148.72"/>
    <n v="48.82"/>
    <x v="1"/>
    <n v="624.9"/>
    <n v="2379.52"/>
    <n v="-1754.62"/>
    <n v="-280.77999999999997"/>
  </r>
  <r>
    <x v="71"/>
    <x v="66"/>
    <x v="1"/>
    <x v="3"/>
    <n v="19"/>
    <n v="111.45"/>
    <n v="13.96"/>
    <x v="3"/>
    <n v="251.98"/>
    <n v="2117.5500000000002"/>
    <n v="-1865.5700000000002"/>
    <n v="-740.36"/>
  </r>
  <r>
    <x v="72"/>
    <x v="67"/>
    <x v="4"/>
    <x v="0"/>
    <n v="5"/>
    <n v="142.63999999999999"/>
    <n v="31.85"/>
    <x v="4"/>
    <n v="143.33000000000001"/>
    <n v="713.2"/>
    <n v="-569.87"/>
    <n v="-397.59"/>
  </r>
  <r>
    <x v="73"/>
    <x v="55"/>
    <x v="4"/>
    <x v="3"/>
    <n v="14"/>
    <n v="193.89"/>
    <n v="210.6"/>
    <x v="4"/>
    <n v="2653.56"/>
    <n v="2714.46"/>
    <n v="-60.900000000000091"/>
    <n v="-2.2999999999999998"/>
  </r>
  <r>
    <x v="74"/>
    <x v="68"/>
    <x v="1"/>
    <x v="1"/>
    <n v="5"/>
    <n v="139.16999999999999"/>
    <n v="164.96"/>
    <x v="1"/>
    <n v="659.84"/>
    <n v="695.85"/>
    <n v="-36.009999999999991"/>
    <n v="-5.46"/>
  </r>
  <r>
    <x v="75"/>
    <x v="69"/>
    <x v="3"/>
    <x v="1"/>
    <n v="15"/>
    <n v="168.21"/>
    <n v="227.47"/>
    <x v="1"/>
    <n v="2729.64"/>
    <n v="2523.15"/>
    <n v="206.48999999999978"/>
    <n v="7.56"/>
  </r>
  <r>
    <x v="76"/>
    <x v="70"/>
    <x v="1"/>
    <x v="2"/>
    <n v="17"/>
    <n v="174.04"/>
    <n v="274.82"/>
    <x v="3"/>
    <n v="4438.34"/>
    <n v="2958.68"/>
    <n v="1479.6600000000003"/>
    <n v="33.340000000000003"/>
  </r>
  <r>
    <x v="77"/>
    <x v="48"/>
    <x v="4"/>
    <x v="3"/>
    <n v="14"/>
    <n v="168.5"/>
    <n v="179.69"/>
    <x v="5"/>
    <n v="2138.31"/>
    <n v="2359"/>
    <n v="-220.69000000000005"/>
    <n v="-10.32"/>
  </r>
  <r>
    <x v="78"/>
    <x v="71"/>
    <x v="2"/>
    <x v="2"/>
    <n v="5"/>
    <n v="88.09"/>
    <n v="220.58"/>
    <x v="3"/>
    <n v="1047.76"/>
    <n v="440.45"/>
    <n v="607.30999999999995"/>
    <n v="57.96"/>
  </r>
  <r>
    <x v="79"/>
    <x v="47"/>
    <x v="2"/>
    <x v="1"/>
    <n v="12"/>
    <n v="48.4"/>
    <n v="229.55"/>
    <x v="1"/>
    <n v="2203.6799999999998"/>
    <n v="580.79999999999995"/>
    <n v="1622.8799999999999"/>
    <n v="73.64"/>
  </r>
  <r>
    <x v="80"/>
    <x v="72"/>
    <x v="0"/>
    <x v="3"/>
    <n v="16"/>
    <n v="82.35"/>
    <n v="119.58"/>
    <x v="2"/>
    <n v="1052.3"/>
    <n v="1317.6"/>
    <n v="-265.29999999999995"/>
    <n v="-25.21"/>
  </r>
  <r>
    <x v="81"/>
    <x v="73"/>
    <x v="1"/>
    <x v="3"/>
    <n v="16"/>
    <n v="178.92"/>
    <n v="79.91"/>
    <x v="1"/>
    <n v="1022.85"/>
    <n v="2862.72"/>
    <n v="-1839.87"/>
    <n v="-179.88"/>
  </r>
  <r>
    <x v="82"/>
    <x v="74"/>
    <x v="1"/>
    <x v="2"/>
    <n v="7"/>
    <n v="33.590000000000003"/>
    <n v="69.459999999999994"/>
    <x v="2"/>
    <n v="267.42"/>
    <n v="235.13"/>
    <n v="32.29000000000002"/>
    <n v="12.07"/>
  </r>
  <r>
    <x v="83"/>
    <x v="75"/>
    <x v="0"/>
    <x v="1"/>
    <n v="4"/>
    <n v="105.1"/>
    <n v="82.92"/>
    <x v="6"/>
    <n v="331.68"/>
    <n v="420.4"/>
    <n v="-88.71999999999997"/>
    <n v="-26.75"/>
  </r>
  <r>
    <x v="84"/>
    <x v="76"/>
    <x v="0"/>
    <x v="3"/>
    <n v="1"/>
    <n v="50.48"/>
    <n v="89.67"/>
    <x v="1"/>
    <n v="71.739999999999995"/>
    <n v="50.48"/>
    <n v="21.259999999999998"/>
    <n v="29.63"/>
  </r>
  <r>
    <x v="85"/>
    <x v="70"/>
    <x v="0"/>
    <x v="2"/>
    <n v="5"/>
    <n v="118.35"/>
    <n v="70.099999999999994"/>
    <x v="6"/>
    <n v="350.5"/>
    <n v="591.75"/>
    <n v="-241.25"/>
    <n v="-68.83"/>
  </r>
  <r>
    <x v="86"/>
    <x v="8"/>
    <x v="4"/>
    <x v="1"/>
    <n v="10"/>
    <n v="173.31"/>
    <n v="264.68"/>
    <x v="5"/>
    <n v="2249.7800000000002"/>
    <n v="1733.1"/>
    <n v="516.68000000000029"/>
    <n v="22.97"/>
  </r>
  <r>
    <x v="87"/>
    <x v="60"/>
    <x v="1"/>
    <x v="2"/>
    <n v="5"/>
    <n v="176.67"/>
    <n v="229.53"/>
    <x v="3"/>
    <n v="1090.27"/>
    <n v="883.35"/>
    <n v="206.91999999999996"/>
    <n v="18.98"/>
  </r>
  <r>
    <x v="88"/>
    <x v="77"/>
    <x v="4"/>
    <x v="0"/>
    <n v="4"/>
    <n v="51.15"/>
    <n v="23.6"/>
    <x v="2"/>
    <n v="51.92"/>
    <n v="204.6"/>
    <n v="-152.68"/>
    <n v="-294.07"/>
  </r>
  <r>
    <x v="89"/>
    <x v="78"/>
    <x v="0"/>
    <x v="3"/>
    <n v="2"/>
    <n v="182"/>
    <n v="87.92"/>
    <x v="3"/>
    <n v="167.05"/>
    <n v="364"/>
    <n v="-196.95"/>
    <n v="-117.9"/>
  </r>
  <r>
    <x v="90"/>
    <x v="79"/>
    <x v="1"/>
    <x v="0"/>
    <n v="10"/>
    <n v="120.42"/>
    <n v="16.43"/>
    <x v="6"/>
    <n v="164.3"/>
    <n v="1204.2"/>
    <n v="-1039.9000000000001"/>
    <n v="-632.92999999999995"/>
  </r>
  <r>
    <x v="91"/>
    <x v="80"/>
    <x v="4"/>
    <x v="1"/>
    <n v="19"/>
    <n v="73.290000000000006"/>
    <n v="154.47"/>
    <x v="2"/>
    <n v="1614.21"/>
    <n v="1392.51"/>
    <n v="221.70000000000005"/>
    <n v="13.73"/>
  </r>
  <r>
    <x v="92"/>
    <x v="81"/>
    <x v="4"/>
    <x v="0"/>
    <n v="1"/>
    <n v="143.1"/>
    <n v="148.1"/>
    <x v="3"/>
    <n v="140.69999999999999"/>
    <n v="143.1"/>
    <n v="-2.4000000000000057"/>
    <n v="-1.71"/>
  </r>
  <r>
    <x v="93"/>
    <x v="42"/>
    <x v="0"/>
    <x v="0"/>
    <n v="5"/>
    <n v="98.93"/>
    <n v="251.1"/>
    <x v="1"/>
    <n v="1004.4"/>
    <n v="494.65"/>
    <n v="509.75"/>
    <n v="50.75"/>
  </r>
  <r>
    <x v="94"/>
    <x v="82"/>
    <x v="1"/>
    <x v="1"/>
    <n v="13"/>
    <n v="78.709999999999994"/>
    <n v="99.26"/>
    <x v="4"/>
    <n v="1161.3399999999999"/>
    <n v="1023.23"/>
    <n v="138.1099999999999"/>
    <n v="11.89"/>
  </r>
  <r>
    <x v="95"/>
    <x v="49"/>
    <x v="0"/>
    <x v="2"/>
    <n v="4"/>
    <n v="142.49"/>
    <n v="246.75"/>
    <x v="6"/>
    <n v="987"/>
    <n v="569.96"/>
    <n v="417.03999999999996"/>
    <n v="42.25"/>
  </r>
  <r>
    <x v="96"/>
    <x v="83"/>
    <x v="1"/>
    <x v="0"/>
    <n v="16"/>
    <n v="53.5"/>
    <n v="290.70999999999998"/>
    <x v="3"/>
    <n v="4418.79"/>
    <n v="856"/>
    <n v="3562.79"/>
    <n v="80.63"/>
  </r>
  <r>
    <x v="97"/>
    <x v="84"/>
    <x v="2"/>
    <x v="2"/>
    <n v="16"/>
    <n v="69.400000000000006"/>
    <n v="35.64"/>
    <x v="6"/>
    <n v="570.24"/>
    <n v="1110.4000000000001"/>
    <n v="-540.16000000000008"/>
    <n v="-94.73"/>
  </r>
  <r>
    <x v="98"/>
    <x v="20"/>
    <x v="3"/>
    <x v="0"/>
    <n v="2"/>
    <n v="89.72"/>
    <n v="239.63"/>
    <x v="0"/>
    <n v="239.63"/>
    <n v="179.44"/>
    <n v="60.19"/>
    <n v="25.12"/>
  </r>
  <r>
    <x v="99"/>
    <x v="85"/>
    <x v="3"/>
    <x v="2"/>
    <n v="17"/>
    <n v="54.47"/>
    <n v="181.09"/>
    <x v="6"/>
    <n v="3078.53"/>
    <n v="925.99"/>
    <n v="2152.54"/>
    <n v="69.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4024F-9E5F-4AD8-9ABF-BD70A3E995DA}" name="PivotTable6"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1:B32" firstHeaderRow="1" firstDataRow="1" firstDataCol="1"/>
  <pivotFields count="12">
    <pivotField axis="axisRow" showAll="0" measureFilter="1">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items count="87">
        <item x="66"/>
        <item x="32"/>
        <item x="13"/>
        <item x="61"/>
        <item x="73"/>
        <item x="49"/>
        <item x="16"/>
        <item x="24"/>
        <item x="33"/>
        <item x="39"/>
        <item x="44"/>
        <item x="26"/>
        <item x="55"/>
        <item x="72"/>
        <item x="19"/>
        <item x="31"/>
        <item x="53"/>
        <item x="8"/>
        <item x="34"/>
        <item x="74"/>
        <item x="84"/>
        <item x="40"/>
        <item x="28"/>
        <item x="9"/>
        <item x="6"/>
        <item x="2"/>
        <item x="67"/>
        <item x="21"/>
        <item x="45"/>
        <item x="68"/>
        <item x="11"/>
        <item x="79"/>
        <item x="37"/>
        <item x="35"/>
        <item x="82"/>
        <item x="85"/>
        <item x="75"/>
        <item x="50"/>
        <item x="4"/>
        <item x="69"/>
        <item x="0"/>
        <item x="22"/>
        <item x="62"/>
        <item x="42"/>
        <item x="70"/>
        <item x="51"/>
        <item x="54"/>
        <item x="63"/>
        <item x="52"/>
        <item x="10"/>
        <item x="41"/>
        <item x="43"/>
        <item x="64"/>
        <item x="7"/>
        <item x="20"/>
        <item x="23"/>
        <item x="59"/>
        <item x="25"/>
        <item x="48"/>
        <item x="78"/>
        <item x="27"/>
        <item x="36"/>
        <item x="57"/>
        <item x="58"/>
        <item x="71"/>
        <item x="38"/>
        <item x="77"/>
        <item x="3"/>
        <item x="14"/>
        <item x="46"/>
        <item x="65"/>
        <item x="76"/>
        <item x="56"/>
        <item x="1"/>
        <item x="17"/>
        <item x="5"/>
        <item x="83"/>
        <item x="81"/>
        <item x="60"/>
        <item x="29"/>
        <item x="30"/>
        <item x="47"/>
        <item x="18"/>
        <item x="80"/>
        <item x="12"/>
        <item x="15"/>
        <item t="default"/>
      </items>
    </pivotField>
    <pivotField showAll="0">
      <items count="6">
        <item x="0"/>
        <item x="1"/>
        <item x="3"/>
        <item x="4"/>
        <item x="2"/>
        <item t="default"/>
      </items>
    </pivotField>
    <pivotField showAll="0">
      <items count="5">
        <item x="1"/>
        <item x="3"/>
        <item x="0"/>
        <item x="2"/>
        <item t="default"/>
      </items>
    </pivotField>
    <pivotField showAll="0"/>
    <pivotField showAll="0"/>
    <pivotField showAll="0"/>
    <pivotField showAll="0"/>
    <pivotField showAll="0"/>
    <pivotField showAll="0"/>
    <pivotField dataField="1" showAll="0"/>
    <pivotField showAll="0"/>
  </pivotFields>
  <rowFields count="1">
    <field x="0"/>
  </rowFields>
  <rowItems count="11">
    <i>
      <x v="4"/>
    </i>
    <i>
      <x v="13"/>
    </i>
    <i>
      <x v="21"/>
    </i>
    <i>
      <x v="53"/>
    </i>
    <i>
      <x v="56"/>
    </i>
    <i>
      <x v="62"/>
    </i>
    <i>
      <x v="76"/>
    </i>
    <i>
      <x v="79"/>
    </i>
    <i>
      <x v="96"/>
    </i>
    <i>
      <x v="99"/>
    </i>
    <i t="grand">
      <x/>
    </i>
  </rowItems>
  <colItems count="1">
    <i/>
  </colItems>
  <dataFields count="1">
    <dataField name="Sum of Profit" fld="10"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C20462-3C00-435A-83DB-76BCC36933C5}" name="PivotTable5"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C19" firstHeaderRow="0" firstDataRow="1" firstDataCol="1"/>
  <pivotFields count="12">
    <pivotField dataField="1" showAll="0"/>
    <pivotField numFmtId="164" showAll="0">
      <items count="87">
        <item x="66"/>
        <item x="32"/>
        <item x="13"/>
        <item x="61"/>
        <item x="73"/>
        <item x="49"/>
        <item x="16"/>
        <item x="24"/>
        <item x="33"/>
        <item x="39"/>
        <item x="44"/>
        <item x="26"/>
        <item x="55"/>
        <item x="72"/>
        <item x="19"/>
        <item x="31"/>
        <item x="53"/>
        <item x="8"/>
        <item x="34"/>
        <item x="74"/>
        <item x="84"/>
        <item x="40"/>
        <item x="28"/>
        <item x="9"/>
        <item x="6"/>
        <item x="2"/>
        <item x="67"/>
        <item x="21"/>
        <item x="45"/>
        <item x="68"/>
        <item x="11"/>
        <item x="79"/>
        <item x="37"/>
        <item x="35"/>
        <item x="82"/>
        <item x="85"/>
        <item x="75"/>
        <item x="50"/>
        <item x="4"/>
        <item x="69"/>
        <item x="0"/>
        <item x="22"/>
        <item x="62"/>
        <item x="42"/>
        <item x="70"/>
        <item x="51"/>
        <item x="54"/>
        <item x="63"/>
        <item x="52"/>
        <item x="10"/>
        <item x="41"/>
        <item x="43"/>
        <item x="64"/>
        <item x="7"/>
        <item x="20"/>
        <item x="23"/>
        <item x="59"/>
        <item x="25"/>
        <item x="48"/>
        <item x="78"/>
        <item x="27"/>
        <item x="36"/>
        <item x="57"/>
        <item x="58"/>
        <item x="71"/>
        <item x="38"/>
        <item x="77"/>
        <item x="3"/>
        <item x="14"/>
        <item x="46"/>
        <item x="65"/>
        <item x="76"/>
        <item x="56"/>
        <item x="1"/>
        <item x="17"/>
        <item x="5"/>
        <item x="83"/>
        <item x="81"/>
        <item x="60"/>
        <item x="29"/>
        <item x="30"/>
        <item x="47"/>
        <item x="18"/>
        <item x="80"/>
        <item x="12"/>
        <item x="15"/>
        <item t="default"/>
      </items>
    </pivotField>
    <pivotField axis="axisRow" showAll="0">
      <items count="6">
        <item x="0"/>
        <item x="1"/>
        <item x="3"/>
        <item x="4"/>
        <item x="2"/>
        <item t="default"/>
      </items>
    </pivotField>
    <pivotField showAll="0">
      <items count="5">
        <item x="1"/>
        <item x="3"/>
        <item x="0"/>
        <item x="2"/>
        <item t="default"/>
      </items>
    </pivotField>
    <pivotField showAll="0"/>
    <pivotField showAll="0"/>
    <pivotField showAll="0"/>
    <pivotField dataField="1" showAll="0">
      <items count="8">
        <item x="6"/>
        <item x="3"/>
        <item x="4"/>
        <item x="5"/>
        <item x="1"/>
        <item x="2"/>
        <item x="0"/>
        <item t="default"/>
      </items>
    </pivotField>
    <pivotField showAll="0"/>
    <pivotField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Average of Discount" fld="7" subtotal="average" baseField="2" baseItem="0" numFmtId="10"/>
    <dataField name="Count of Produc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FA61E3-18C2-4A2C-818F-ABD966AD4AA3}" name="PivotTable1"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K11" firstHeaderRow="1" firstDataRow="3" firstDataCol="1"/>
  <pivotFields count="12">
    <pivotField showAll="0"/>
    <pivotField numFmtId="164" showAll="0">
      <items count="87">
        <item x="66"/>
        <item x="32"/>
        <item x="13"/>
        <item x="61"/>
        <item x="73"/>
        <item x="49"/>
        <item x="16"/>
        <item x="24"/>
        <item x="33"/>
        <item x="39"/>
        <item x="44"/>
        <item x="26"/>
        <item x="55"/>
        <item x="72"/>
        <item x="19"/>
        <item x="31"/>
        <item x="53"/>
        <item x="8"/>
        <item x="34"/>
        <item x="74"/>
        <item x="84"/>
        <item x="40"/>
        <item x="28"/>
        <item x="9"/>
        <item x="6"/>
        <item x="2"/>
        <item x="67"/>
        <item x="21"/>
        <item x="45"/>
        <item x="68"/>
        <item x="11"/>
        <item x="79"/>
        <item x="37"/>
        <item x="35"/>
        <item x="82"/>
        <item x="85"/>
        <item x="75"/>
        <item x="50"/>
        <item x="4"/>
        <item x="69"/>
        <item x="0"/>
        <item x="22"/>
        <item x="62"/>
        <item x="42"/>
        <item x="70"/>
        <item x="51"/>
        <item x="54"/>
        <item x="63"/>
        <item x="52"/>
        <item x="10"/>
        <item x="41"/>
        <item x="43"/>
        <item x="64"/>
        <item x="7"/>
        <item x="20"/>
        <item x="23"/>
        <item x="59"/>
        <item x="25"/>
        <item x="48"/>
        <item x="78"/>
        <item x="27"/>
        <item x="36"/>
        <item x="57"/>
        <item x="58"/>
        <item x="71"/>
        <item x="38"/>
        <item x="77"/>
        <item x="3"/>
        <item x="14"/>
        <item x="46"/>
        <item x="65"/>
        <item x="76"/>
        <item x="56"/>
        <item x="1"/>
        <item x="17"/>
        <item x="5"/>
        <item x="83"/>
        <item x="81"/>
        <item x="60"/>
        <item x="29"/>
        <item x="30"/>
        <item x="47"/>
        <item x="18"/>
        <item x="80"/>
        <item x="12"/>
        <item x="15"/>
        <item t="default"/>
      </items>
    </pivotField>
    <pivotField axis="axisRow" showAll="0">
      <items count="6">
        <item x="0"/>
        <item x="1"/>
        <item x="3"/>
        <item x="4"/>
        <item x="2"/>
        <item t="default"/>
      </items>
    </pivotField>
    <pivotField axis="axisCol" showAll="0">
      <items count="5">
        <item x="1"/>
        <item x="3"/>
        <item x="0"/>
        <item x="2"/>
        <item t="default"/>
      </items>
    </pivotField>
    <pivotField showAll="0"/>
    <pivotField showAll="0"/>
    <pivotField showAll="0"/>
    <pivotField showAll="0"/>
    <pivotField dataField="1" showAll="0"/>
    <pivotField showAll="0"/>
    <pivotField dataField="1" showAll="0"/>
    <pivotField showAll="0"/>
  </pivotFields>
  <rowFields count="1">
    <field x="2"/>
  </rowFields>
  <rowItems count="6">
    <i>
      <x/>
    </i>
    <i>
      <x v="1"/>
    </i>
    <i>
      <x v="2"/>
    </i>
    <i>
      <x v="3"/>
    </i>
    <i>
      <x v="4"/>
    </i>
    <i t="grand">
      <x/>
    </i>
  </rowItems>
  <colFields count="2">
    <field x="3"/>
    <field x="-2"/>
  </colFields>
  <colItems count="10">
    <i>
      <x/>
      <x/>
    </i>
    <i r="1" i="1">
      <x v="1"/>
    </i>
    <i>
      <x v="1"/>
      <x/>
    </i>
    <i r="1" i="1">
      <x v="1"/>
    </i>
    <i>
      <x v="2"/>
      <x/>
    </i>
    <i r="1" i="1">
      <x v="1"/>
    </i>
    <i>
      <x v="3"/>
      <x/>
    </i>
    <i r="1" i="1">
      <x v="1"/>
    </i>
    <i t="grand">
      <x/>
    </i>
    <i t="grand" i="1">
      <x/>
    </i>
  </colItems>
  <dataFields count="2">
    <dataField name="Sum of Revenue" fld="8" baseField="0" baseItem="0" numFmtId="169"/>
    <dataField name="Sum of Profit" fld="10"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F727D2-3F86-4CFD-91BE-8DD36E9B3FEE}" sourceName="Category">
  <pivotTables>
    <pivotTable tabId="2" name="PivotTable1"/>
    <pivotTable tabId="2" name="PivotTable5"/>
    <pivotTable tabId="2" name="PivotTable6"/>
  </pivotTables>
  <data>
    <tabular pivotCacheId="1780048025">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5786BE-2C71-404E-9F3A-B92BC531D06C}" sourceName="Region">
  <pivotTables>
    <pivotTable tabId="2" name="PivotTable1"/>
    <pivotTable tabId="2" name="PivotTable5"/>
    <pivotTable tabId="2" name="PivotTable6"/>
  </pivotTables>
  <data>
    <tabular pivotCacheId="1780048025">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B041C2F-96A1-4AC6-8104-25BC86CA5ECB}" cache="Slicer_Category" caption="Category" rowHeight="241300"/>
  <slicer name="Region" xr10:uid="{3E39B786-3E41-4713-8F23-0253614DBDD3}" cache="Slicer_Region" caption="Region"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932CAA8C-CFD2-4AF2-B6CB-56C948441410}" sourceName="Sale Date">
  <pivotTables>
    <pivotTable tabId="2" name="PivotTable1"/>
    <pivotTable tabId="2" name="PivotTable5"/>
    <pivotTable tabId="2" name="PivotTable6"/>
  </pivotTables>
  <state minimalRefreshVersion="6" lastRefreshVersion="6" pivotCacheId="178004802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 Date" xr10:uid="{3FE1E2E2-DAE1-4B7E-AAA9-B3A2813A3A6C}" cache="NativeTimeline_Sale_Date" caption="Sale Date" level="2" selectionLevel="2" scrollPosition="2023-06-07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6166D-AAFA-4801-9C2C-7E827189E084}">
  <dimension ref="A3:K32"/>
  <sheetViews>
    <sheetView tabSelected="1" workbookViewId="0">
      <selection activeCell="E6" sqref="E6"/>
    </sheetView>
  </sheetViews>
  <sheetFormatPr defaultRowHeight="14.5" x14ac:dyDescent="0.35"/>
  <cols>
    <col min="1" max="1" width="12.36328125" bestFit="1" customWidth="1"/>
    <col min="2" max="2" width="11.81640625" bestFit="1" customWidth="1"/>
    <col min="3" max="3" width="17.6328125" bestFit="1" customWidth="1"/>
    <col min="4" max="4" width="14.36328125" bestFit="1" customWidth="1"/>
    <col min="5" max="5" width="11.81640625" bestFit="1" customWidth="1"/>
    <col min="6" max="6" width="14.36328125" bestFit="1" customWidth="1"/>
    <col min="7" max="7" width="11.81640625" bestFit="1" customWidth="1"/>
    <col min="8" max="8" width="14.36328125" bestFit="1" customWidth="1"/>
    <col min="9" max="9" width="11.81640625" bestFit="1" customWidth="1"/>
    <col min="10" max="10" width="19.1796875" bestFit="1" customWidth="1"/>
    <col min="11" max="11" width="16.6328125" bestFit="1" customWidth="1"/>
    <col min="12" max="12" width="11.81640625" bestFit="1" customWidth="1"/>
    <col min="13" max="13" width="21.6328125" bestFit="1" customWidth="1"/>
    <col min="14" max="14" width="19.1796875" bestFit="1" customWidth="1"/>
    <col min="15" max="15" width="16.6328125" bestFit="1" customWidth="1"/>
    <col min="16" max="16" width="26.453125" bestFit="1" customWidth="1"/>
  </cols>
  <sheetData>
    <row r="3" spans="1:11" x14ac:dyDescent="0.35">
      <c r="B3" s="4" t="s">
        <v>123</v>
      </c>
    </row>
    <row r="4" spans="1:11" x14ac:dyDescent="0.35">
      <c r="B4" t="s">
        <v>114</v>
      </c>
      <c r="D4" t="s">
        <v>116</v>
      </c>
      <c r="F4" t="s">
        <v>113</v>
      </c>
      <c r="H4" t="s">
        <v>115</v>
      </c>
      <c r="J4" t="s">
        <v>125</v>
      </c>
      <c r="K4" t="s">
        <v>126</v>
      </c>
    </row>
    <row r="5" spans="1:11" x14ac:dyDescent="0.35">
      <c r="A5" s="4" t="s">
        <v>121</v>
      </c>
      <c r="B5" t="s">
        <v>124</v>
      </c>
      <c r="C5" t="s">
        <v>127</v>
      </c>
      <c r="D5" t="s">
        <v>124</v>
      </c>
      <c r="E5" t="s">
        <v>127</v>
      </c>
      <c r="F5" t="s">
        <v>124</v>
      </c>
      <c r="G5" t="s">
        <v>127</v>
      </c>
      <c r="H5" t="s">
        <v>124</v>
      </c>
      <c r="I5" t="s">
        <v>127</v>
      </c>
    </row>
    <row r="6" spans="1:11" x14ac:dyDescent="0.35">
      <c r="A6" s="5" t="s">
        <v>108</v>
      </c>
      <c r="B6" s="7">
        <v>331.68</v>
      </c>
      <c r="C6" s="7">
        <v>-88.71999999999997</v>
      </c>
      <c r="D6" s="7">
        <v>10981.439999999997</v>
      </c>
      <c r="E6" s="7">
        <v>1509.6499999999999</v>
      </c>
      <c r="F6" s="7">
        <v>7748.8899999999994</v>
      </c>
      <c r="G6" s="7">
        <v>398.16000000000008</v>
      </c>
      <c r="H6" s="7">
        <v>5792.5300000000007</v>
      </c>
      <c r="I6" s="7">
        <v>-634.42000000000007</v>
      </c>
      <c r="J6" s="7">
        <v>24854.539999999994</v>
      </c>
      <c r="K6" s="7">
        <v>1184.6699999999998</v>
      </c>
    </row>
    <row r="7" spans="1:11" x14ac:dyDescent="0.35">
      <c r="A7" s="5" t="s">
        <v>109</v>
      </c>
      <c r="B7" s="7">
        <v>6324.9800000000005</v>
      </c>
      <c r="C7" s="7">
        <v>1809.8300000000002</v>
      </c>
      <c r="D7" s="7">
        <v>5028.18</v>
      </c>
      <c r="E7" s="7">
        <v>-3749.49</v>
      </c>
      <c r="F7" s="7">
        <v>6258.83</v>
      </c>
      <c r="G7" s="7">
        <v>1215.3000000000002</v>
      </c>
      <c r="H7" s="7">
        <v>11111.390000000001</v>
      </c>
      <c r="I7" s="7">
        <v>1616.5500000000006</v>
      </c>
      <c r="J7" s="7">
        <v>28723.379999999997</v>
      </c>
      <c r="K7" s="7">
        <v>892.19000000000119</v>
      </c>
    </row>
    <row r="8" spans="1:11" x14ac:dyDescent="0.35">
      <c r="A8" s="5" t="s">
        <v>111</v>
      </c>
      <c r="B8" s="7">
        <v>6959.52</v>
      </c>
      <c r="C8" s="7">
        <v>364.28999999999974</v>
      </c>
      <c r="D8" s="7">
        <v>4668.7999999999993</v>
      </c>
      <c r="E8" s="7">
        <v>-577.2199999999998</v>
      </c>
      <c r="F8" s="7">
        <v>2178.34</v>
      </c>
      <c r="G8" s="7">
        <v>635.43999999999983</v>
      </c>
      <c r="H8" s="7">
        <v>6806.84</v>
      </c>
      <c r="I8" s="7">
        <v>3090.92</v>
      </c>
      <c r="J8" s="7">
        <v>20613.5</v>
      </c>
      <c r="K8" s="7">
        <v>3513.43</v>
      </c>
    </row>
    <row r="9" spans="1:11" x14ac:dyDescent="0.35">
      <c r="A9" s="5" t="s">
        <v>112</v>
      </c>
      <c r="B9" s="7">
        <v>10567.259999999998</v>
      </c>
      <c r="C9" s="7">
        <v>782.97</v>
      </c>
      <c r="D9" s="7">
        <v>9033.67</v>
      </c>
      <c r="E9" s="7">
        <v>-1685.24</v>
      </c>
      <c r="F9" s="7">
        <v>1100.17</v>
      </c>
      <c r="G9" s="7">
        <v>-2271.4299999999998</v>
      </c>
      <c r="H9" s="7">
        <v>10862.400000000001</v>
      </c>
      <c r="I9" s="7">
        <v>6635.41</v>
      </c>
      <c r="J9" s="7">
        <v>31563.5</v>
      </c>
      <c r="K9" s="7">
        <v>3461.71</v>
      </c>
    </row>
    <row r="10" spans="1:11" x14ac:dyDescent="0.35">
      <c r="A10" s="5" t="s">
        <v>110</v>
      </c>
      <c r="B10" s="7">
        <v>4878.7000000000007</v>
      </c>
      <c r="C10" s="7">
        <v>464.04999999999995</v>
      </c>
      <c r="D10" s="7">
        <v>568.70000000000005</v>
      </c>
      <c r="E10" s="7">
        <v>-245.93999999999994</v>
      </c>
      <c r="F10" s="7">
        <v>1192.73</v>
      </c>
      <c r="G10" s="7">
        <v>291.94999999999993</v>
      </c>
      <c r="H10" s="7">
        <v>1618</v>
      </c>
      <c r="I10" s="7">
        <v>67.149999999999864</v>
      </c>
      <c r="J10" s="7">
        <v>8258.130000000001</v>
      </c>
      <c r="K10" s="7">
        <v>577.20999999999981</v>
      </c>
    </row>
    <row r="11" spans="1:11" x14ac:dyDescent="0.35">
      <c r="A11" s="5" t="s">
        <v>122</v>
      </c>
      <c r="B11" s="7">
        <v>29062.14</v>
      </c>
      <c r="C11" s="7">
        <v>3332.42</v>
      </c>
      <c r="D11" s="7">
        <v>30280.789999999997</v>
      </c>
      <c r="E11" s="7">
        <v>-4748.24</v>
      </c>
      <c r="F11" s="7">
        <v>18478.96</v>
      </c>
      <c r="G11" s="7">
        <v>269.42000000000019</v>
      </c>
      <c r="H11" s="7">
        <v>36191.160000000003</v>
      </c>
      <c r="I11" s="7">
        <v>10775.61</v>
      </c>
      <c r="J11" s="7">
        <v>114013.04999999999</v>
      </c>
      <c r="K11" s="7">
        <v>9629.2099999999991</v>
      </c>
    </row>
    <row r="13" spans="1:11" x14ac:dyDescent="0.35">
      <c r="A13" s="4" t="s">
        <v>121</v>
      </c>
      <c r="B13" t="s">
        <v>128</v>
      </c>
      <c r="C13" t="s">
        <v>129</v>
      </c>
    </row>
    <row r="14" spans="1:11" x14ac:dyDescent="0.35">
      <c r="A14" s="5" t="s">
        <v>108</v>
      </c>
      <c r="B14" s="8">
        <v>17.083333333333332</v>
      </c>
      <c r="C14" s="6">
        <v>24</v>
      </c>
    </row>
    <row r="15" spans="1:11" x14ac:dyDescent="0.35">
      <c r="A15" s="5" t="s">
        <v>109</v>
      </c>
      <c r="B15" s="8">
        <v>24.464285714285715</v>
      </c>
      <c r="C15" s="6">
        <v>28</v>
      </c>
    </row>
    <row r="16" spans="1:11" x14ac:dyDescent="0.35">
      <c r="A16" s="5" t="s">
        <v>111</v>
      </c>
      <c r="B16" s="8">
        <v>15.625</v>
      </c>
      <c r="C16" s="6">
        <v>16</v>
      </c>
    </row>
    <row r="17" spans="1:3" x14ac:dyDescent="0.35">
      <c r="A17" s="5" t="s">
        <v>112</v>
      </c>
      <c r="B17" s="8">
        <v>16.521739130434781</v>
      </c>
      <c r="C17" s="6">
        <v>23</v>
      </c>
    </row>
    <row r="18" spans="1:3" x14ac:dyDescent="0.35">
      <c r="A18" s="5" t="s">
        <v>110</v>
      </c>
      <c r="B18" s="8">
        <v>29.444444444444443</v>
      </c>
      <c r="C18" s="6">
        <v>9</v>
      </c>
    </row>
    <row r="19" spans="1:3" x14ac:dyDescent="0.35">
      <c r="A19" s="5" t="s">
        <v>122</v>
      </c>
      <c r="B19" s="8">
        <v>19.899999999999999</v>
      </c>
      <c r="C19" s="6">
        <v>100</v>
      </c>
    </row>
    <row r="21" spans="1:3" x14ac:dyDescent="0.35">
      <c r="A21" s="4" t="s">
        <v>121</v>
      </c>
      <c r="B21" t="s">
        <v>127</v>
      </c>
    </row>
    <row r="22" spans="1:3" x14ac:dyDescent="0.35">
      <c r="A22" s="5" t="s">
        <v>12</v>
      </c>
      <c r="B22" s="6">
        <v>1395.33</v>
      </c>
    </row>
    <row r="23" spans="1:3" x14ac:dyDescent="0.35">
      <c r="A23" s="5" t="s">
        <v>21</v>
      </c>
      <c r="B23" s="6">
        <v>3305.51</v>
      </c>
    </row>
    <row r="24" spans="1:3" x14ac:dyDescent="0.35">
      <c r="A24" s="5" t="s">
        <v>29</v>
      </c>
      <c r="B24" s="6">
        <v>1905.3300000000002</v>
      </c>
    </row>
    <row r="25" spans="1:3" x14ac:dyDescent="0.35">
      <c r="A25" s="5" t="s">
        <v>61</v>
      </c>
      <c r="B25" s="6">
        <v>1643.0400000000002</v>
      </c>
    </row>
    <row r="26" spans="1:3" x14ac:dyDescent="0.35">
      <c r="A26" s="5" t="s">
        <v>64</v>
      </c>
      <c r="B26" s="6">
        <v>1981.6800000000003</v>
      </c>
    </row>
    <row r="27" spans="1:3" x14ac:dyDescent="0.35">
      <c r="A27" s="5" t="s">
        <v>70</v>
      </c>
      <c r="B27" s="6">
        <v>1639.1200000000001</v>
      </c>
    </row>
    <row r="28" spans="1:3" x14ac:dyDescent="0.35">
      <c r="A28" s="5" t="s">
        <v>84</v>
      </c>
      <c r="B28" s="6">
        <v>1479.6600000000003</v>
      </c>
    </row>
    <row r="29" spans="1:3" x14ac:dyDescent="0.35">
      <c r="A29" s="5" t="s">
        <v>87</v>
      </c>
      <c r="B29" s="6">
        <v>1622.8799999999999</v>
      </c>
    </row>
    <row r="30" spans="1:3" x14ac:dyDescent="0.35">
      <c r="A30" s="5" t="s">
        <v>104</v>
      </c>
      <c r="B30" s="6">
        <v>3562.79</v>
      </c>
    </row>
    <row r="31" spans="1:3" x14ac:dyDescent="0.35">
      <c r="A31" s="5" t="s">
        <v>107</v>
      </c>
      <c r="B31" s="6">
        <v>2152.54</v>
      </c>
    </row>
    <row r="32" spans="1:3" x14ac:dyDescent="0.35">
      <c r="A32" s="5" t="s">
        <v>122</v>
      </c>
      <c r="B32" s="6">
        <v>20687.88</v>
      </c>
    </row>
  </sheetData>
  <pageMargins left="0.7" right="0.7" top="0.75" bottom="0.75" header="0.3" footer="0.3"/>
  <pageSetup orientation="portrait" horizontalDpi="360" verticalDpi="360"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workbookViewId="0">
      <selection activeCell="L2" sqref="L2"/>
    </sheetView>
  </sheetViews>
  <sheetFormatPr defaultRowHeight="14.5" x14ac:dyDescent="0.35"/>
  <cols>
    <col min="1" max="1" width="15.54296875" customWidth="1"/>
    <col min="2" max="2" width="18" customWidth="1"/>
    <col min="3" max="3" width="15" customWidth="1"/>
    <col min="4" max="4" width="12.453125" customWidth="1"/>
    <col min="5" max="5" width="12.26953125" customWidth="1"/>
    <col min="6" max="6" width="11.7265625" customWidth="1"/>
    <col min="7" max="7" width="11.81640625" customWidth="1"/>
    <col min="8" max="8" width="9.90625" customWidth="1"/>
    <col min="12" max="12" width="15.36328125" customWidth="1"/>
  </cols>
  <sheetData>
    <row r="1" spans="1:12" x14ac:dyDescent="0.35">
      <c r="A1" s="1" t="s">
        <v>0</v>
      </c>
      <c r="B1" s="1" t="s">
        <v>1</v>
      </c>
      <c r="C1" s="1" t="s">
        <v>2</v>
      </c>
      <c r="D1" s="1" t="s">
        <v>3</v>
      </c>
      <c r="E1" s="1" t="s">
        <v>4</v>
      </c>
      <c r="F1" s="1" t="s">
        <v>5</v>
      </c>
      <c r="G1" s="1" t="s">
        <v>6</v>
      </c>
      <c r="H1" s="1" t="s">
        <v>7</v>
      </c>
      <c r="I1" s="3" t="s">
        <v>117</v>
      </c>
      <c r="J1" s="3" t="s">
        <v>118</v>
      </c>
      <c r="K1" s="3" t="s">
        <v>119</v>
      </c>
      <c r="L1" s="3" t="s">
        <v>120</v>
      </c>
    </row>
    <row r="2" spans="1:12" x14ac:dyDescent="0.35">
      <c r="A2" t="s">
        <v>8</v>
      </c>
      <c r="B2" s="2">
        <v>45127</v>
      </c>
      <c r="C2" t="s">
        <v>108</v>
      </c>
      <c r="D2" t="s">
        <v>113</v>
      </c>
      <c r="E2">
        <v>15</v>
      </c>
      <c r="F2">
        <v>174.1</v>
      </c>
      <c r="G2">
        <v>127.51</v>
      </c>
      <c r="H2">
        <v>50</v>
      </c>
      <c r="I2">
        <f>ROUND(E2*G2*(1-H2/100),2)</f>
        <v>956.33</v>
      </c>
      <c r="J2">
        <f>ROUND(E2*F2, 2)</f>
        <v>2611.5</v>
      </c>
      <c r="K2">
        <f>I2-J2</f>
        <v>-1655.17</v>
      </c>
      <c r="L2">
        <f>ROUND((K2/I2)*100, 2)</f>
        <v>-173.08</v>
      </c>
    </row>
    <row r="3" spans="1:12" x14ac:dyDescent="0.35">
      <c r="A3" t="s">
        <v>9</v>
      </c>
      <c r="B3" s="2">
        <v>45238</v>
      </c>
      <c r="C3" t="s">
        <v>109</v>
      </c>
      <c r="D3" t="s">
        <v>113</v>
      </c>
      <c r="E3">
        <v>2</v>
      </c>
      <c r="F3">
        <v>129.1</v>
      </c>
      <c r="G3">
        <v>175.73</v>
      </c>
      <c r="H3">
        <v>50</v>
      </c>
      <c r="I3">
        <f t="shared" ref="I3:I66" si="0">ROUND(E3*G3*(1-H3/100),2)</f>
        <v>175.73</v>
      </c>
      <c r="J3">
        <f t="shared" ref="J3:J66" si="1">ROUND(E3*F3, 2)</f>
        <v>258.2</v>
      </c>
      <c r="K3">
        <f t="shared" ref="K3:K66" si="2">I3-J3</f>
        <v>-82.47</v>
      </c>
      <c r="L3">
        <f t="shared" ref="L3:L66" si="3">ROUND((K3/I3)*100, 2)</f>
        <v>-46.93</v>
      </c>
    </row>
    <row r="4" spans="1:12" x14ac:dyDescent="0.35">
      <c r="A4" t="s">
        <v>10</v>
      </c>
      <c r="B4" s="2">
        <v>45053</v>
      </c>
      <c r="C4" t="s">
        <v>110</v>
      </c>
      <c r="D4" t="s">
        <v>114</v>
      </c>
      <c r="E4">
        <v>10</v>
      </c>
      <c r="F4">
        <v>161.19</v>
      </c>
      <c r="G4">
        <v>224.88</v>
      </c>
      <c r="H4">
        <v>50</v>
      </c>
      <c r="I4">
        <f t="shared" si="0"/>
        <v>1124.4000000000001</v>
      </c>
      <c r="J4">
        <f t="shared" si="1"/>
        <v>1611.9</v>
      </c>
      <c r="K4">
        <f t="shared" si="2"/>
        <v>-487.5</v>
      </c>
      <c r="L4">
        <f t="shared" si="3"/>
        <v>-43.36</v>
      </c>
    </row>
    <row r="5" spans="1:12" x14ac:dyDescent="0.35">
      <c r="A5" t="s">
        <v>11</v>
      </c>
      <c r="B5" s="2">
        <v>45218</v>
      </c>
      <c r="C5" t="s">
        <v>109</v>
      </c>
      <c r="D5" t="s">
        <v>115</v>
      </c>
      <c r="E5">
        <v>2</v>
      </c>
      <c r="F5">
        <v>137.05000000000001</v>
      </c>
      <c r="G5">
        <v>232.49</v>
      </c>
      <c r="H5">
        <v>50</v>
      </c>
      <c r="I5">
        <f t="shared" si="0"/>
        <v>232.49</v>
      </c>
      <c r="J5">
        <f t="shared" si="1"/>
        <v>274.10000000000002</v>
      </c>
      <c r="K5">
        <f t="shared" si="2"/>
        <v>-41.610000000000014</v>
      </c>
      <c r="L5">
        <f t="shared" si="3"/>
        <v>-17.899999999999999</v>
      </c>
    </row>
    <row r="6" spans="1:12" x14ac:dyDescent="0.35">
      <c r="A6" t="s">
        <v>12</v>
      </c>
      <c r="B6" s="2">
        <v>45118</v>
      </c>
      <c r="C6" t="s">
        <v>108</v>
      </c>
      <c r="D6" t="s">
        <v>116</v>
      </c>
      <c r="E6">
        <v>17</v>
      </c>
      <c r="F6">
        <v>116.81</v>
      </c>
      <c r="G6">
        <v>248.61</v>
      </c>
      <c r="H6">
        <v>20</v>
      </c>
      <c r="I6">
        <f t="shared" si="0"/>
        <v>3381.1</v>
      </c>
      <c r="J6">
        <f t="shared" si="1"/>
        <v>1985.77</v>
      </c>
      <c r="K6">
        <f t="shared" si="2"/>
        <v>1395.33</v>
      </c>
      <c r="L6">
        <f t="shared" si="3"/>
        <v>41.27</v>
      </c>
    </row>
    <row r="7" spans="1:12" x14ac:dyDescent="0.35">
      <c r="A7" t="s">
        <v>13</v>
      </c>
      <c r="B7" s="2">
        <v>45254</v>
      </c>
      <c r="C7" t="s">
        <v>111</v>
      </c>
      <c r="D7" t="s">
        <v>116</v>
      </c>
      <c r="E7">
        <v>8</v>
      </c>
      <c r="F7">
        <v>30.06</v>
      </c>
      <c r="G7">
        <v>225.82</v>
      </c>
      <c r="H7">
        <v>20</v>
      </c>
      <c r="I7">
        <f t="shared" si="0"/>
        <v>1445.25</v>
      </c>
      <c r="J7">
        <f t="shared" si="1"/>
        <v>240.48</v>
      </c>
      <c r="K7">
        <f t="shared" si="2"/>
        <v>1204.77</v>
      </c>
      <c r="L7">
        <f t="shared" si="3"/>
        <v>83.36</v>
      </c>
    </row>
    <row r="8" spans="1:12" x14ac:dyDescent="0.35">
      <c r="A8" t="s">
        <v>14</v>
      </c>
      <c r="B8" s="2">
        <v>45050</v>
      </c>
      <c r="C8" t="s">
        <v>112</v>
      </c>
      <c r="D8" t="s">
        <v>115</v>
      </c>
      <c r="E8">
        <v>1</v>
      </c>
      <c r="F8">
        <v>163.18</v>
      </c>
      <c r="G8">
        <v>207.5</v>
      </c>
      <c r="H8">
        <v>45</v>
      </c>
      <c r="I8">
        <f t="shared" si="0"/>
        <v>114.13</v>
      </c>
      <c r="J8">
        <f t="shared" si="1"/>
        <v>163.18</v>
      </c>
      <c r="K8">
        <f t="shared" si="2"/>
        <v>-49.050000000000011</v>
      </c>
      <c r="L8">
        <f t="shared" si="3"/>
        <v>-42.98</v>
      </c>
    </row>
    <row r="9" spans="1:12" x14ac:dyDescent="0.35">
      <c r="A9" t="s">
        <v>15</v>
      </c>
      <c r="B9" s="2">
        <v>45162</v>
      </c>
      <c r="C9" t="s">
        <v>108</v>
      </c>
      <c r="D9" t="s">
        <v>116</v>
      </c>
      <c r="E9">
        <v>9</v>
      </c>
      <c r="F9">
        <v>165.02</v>
      </c>
      <c r="G9">
        <v>78.88</v>
      </c>
      <c r="H9">
        <v>5</v>
      </c>
      <c r="I9">
        <f t="shared" si="0"/>
        <v>674.42</v>
      </c>
      <c r="J9">
        <f t="shared" si="1"/>
        <v>1485.18</v>
      </c>
      <c r="K9">
        <f t="shared" si="2"/>
        <v>-810.7600000000001</v>
      </c>
      <c r="L9">
        <f t="shared" si="3"/>
        <v>-120.22</v>
      </c>
    </row>
    <row r="10" spans="1:12" x14ac:dyDescent="0.35">
      <c r="A10" t="s">
        <v>16</v>
      </c>
      <c r="B10" s="2">
        <v>45007</v>
      </c>
      <c r="C10" t="s">
        <v>109</v>
      </c>
      <c r="D10" t="s">
        <v>115</v>
      </c>
      <c r="E10">
        <v>11</v>
      </c>
      <c r="F10">
        <v>127.06</v>
      </c>
      <c r="G10">
        <v>126.06</v>
      </c>
      <c r="H10">
        <v>10</v>
      </c>
      <c r="I10">
        <f t="shared" si="0"/>
        <v>1247.99</v>
      </c>
      <c r="J10">
        <f t="shared" si="1"/>
        <v>1397.66</v>
      </c>
      <c r="K10">
        <f t="shared" si="2"/>
        <v>-149.67000000000007</v>
      </c>
      <c r="L10">
        <f t="shared" si="3"/>
        <v>-11.99</v>
      </c>
    </row>
    <row r="11" spans="1:12" x14ac:dyDescent="0.35">
      <c r="A11" t="s">
        <v>17</v>
      </c>
      <c r="B11" s="2">
        <v>45048</v>
      </c>
      <c r="C11" t="s">
        <v>112</v>
      </c>
      <c r="D11" t="s">
        <v>116</v>
      </c>
      <c r="E11">
        <v>16</v>
      </c>
      <c r="F11">
        <v>164.98</v>
      </c>
      <c r="G11">
        <v>148.54</v>
      </c>
      <c r="H11">
        <v>10</v>
      </c>
      <c r="I11">
        <f t="shared" si="0"/>
        <v>2138.98</v>
      </c>
      <c r="J11">
        <f t="shared" si="1"/>
        <v>2639.68</v>
      </c>
      <c r="K11">
        <f t="shared" si="2"/>
        <v>-500.69999999999982</v>
      </c>
      <c r="L11">
        <f t="shared" si="3"/>
        <v>-23.41</v>
      </c>
    </row>
    <row r="12" spans="1:12" x14ac:dyDescent="0.35">
      <c r="A12" t="s">
        <v>18</v>
      </c>
      <c r="B12" s="2">
        <v>45150</v>
      </c>
      <c r="C12" t="s">
        <v>109</v>
      </c>
      <c r="D12" t="s">
        <v>113</v>
      </c>
      <c r="E12">
        <v>7</v>
      </c>
      <c r="F12">
        <v>132.04</v>
      </c>
      <c r="G12">
        <v>34.04</v>
      </c>
      <c r="H12">
        <v>50</v>
      </c>
      <c r="I12">
        <f t="shared" si="0"/>
        <v>119.14</v>
      </c>
      <c r="J12">
        <f t="shared" si="1"/>
        <v>924.28</v>
      </c>
      <c r="K12">
        <f t="shared" si="2"/>
        <v>-805.14</v>
      </c>
      <c r="L12">
        <f t="shared" si="3"/>
        <v>-675.79</v>
      </c>
    </row>
    <row r="13" spans="1:12" x14ac:dyDescent="0.35">
      <c r="A13" t="s">
        <v>19</v>
      </c>
      <c r="B13" s="2">
        <v>45079</v>
      </c>
      <c r="C13" t="s">
        <v>109</v>
      </c>
      <c r="D13" t="s">
        <v>116</v>
      </c>
      <c r="E13">
        <v>10</v>
      </c>
      <c r="F13">
        <v>45.3</v>
      </c>
      <c r="G13">
        <v>163.22999999999999</v>
      </c>
      <c r="H13">
        <v>45</v>
      </c>
      <c r="I13">
        <f t="shared" si="0"/>
        <v>897.77</v>
      </c>
      <c r="J13">
        <f t="shared" si="1"/>
        <v>453</v>
      </c>
      <c r="K13">
        <f t="shared" si="2"/>
        <v>444.77</v>
      </c>
      <c r="L13">
        <f t="shared" si="3"/>
        <v>49.54</v>
      </c>
    </row>
    <row r="14" spans="1:12" x14ac:dyDescent="0.35">
      <c r="A14" t="s">
        <v>20</v>
      </c>
      <c r="B14" s="2">
        <v>45281</v>
      </c>
      <c r="C14" t="s">
        <v>111</v>
      </c>
      <c r="D14" t="s">
        <v>115</v>
      </c>
      <c r="E14">
        <v>3</v>
      </c>
      <c r="F14">
        <v>58.42</v>
      </c>
      <c r="G14">
        <v>136.54</v>
      </c>
      <c r="H14">
        <v>15</v>
      </c>
      <c r="I14">
        <f t="shared" si="0"/>
        <v>348.18</v>
      </c>
      <c r="J14">
        <f t="shared" si="1"/>
        <v>175.26</v>
      </c>
      <c r="K14">
        <f t="shared" si="2"/>
        <v>172.92000000000002</v>
      </c>
      <c r="L14">
        <f t="shared" si="3"/>
        <v>49.66</v>
      </c>
    </row>
    <row r="15" spans="1:12" x14ac:dyDescent="0.35">
      <c r="A15" t="s">
        <v>21</v>
      </c>
      <c r="B15" s="2">
        <v>44938</v>
      </c>
      <c r="C15" t="s">
        <v>112</v>
      </c>
      <c r="D15" t="s">
        <v>115</v>
      </c>
      <c r="E15">
        <v>18</v>
      </c>
      <c r="F15">
        <v>46.84</v>
      </c>
      <c r="G15">
        <v>242.61</v>
      </c>
      <c r="H15">
        <v>5</v>
      </c>
      <c r="I15">
        <f t="shared" si="0"/>
        <v>4148.63</v>
      </c>
      <c r="J15">
        <f t="shared" si="1"/>
        <v>843.12</v>
      </c>
      <c r="K15">
        <f t="shared" si="2"/>
        <v>3305.51</v>
      </c>
      <c r="L15">
        <f t="shared" si="3"/>
        <v>79.680000000000007</v>
      </c>
    </row>
    <row r="16" spans="1:12" x14ac:dyDescent="0.35">
      <c r="A16" t="s">
        <v>22</v>
      </c>
      <c r="B16" s="2">
        <v>45221</v>
      </c>
      <c r="C16" t="s">
        <v>112</v>
      </c>
      <c r="D16" t="s">
        <v>115</v>
      </c>
      <c r="E16">
        <v>13</v>
      </c>
      <c r="F16">
        <v>78.569999999999993</v>
      </c>
      <c r="G16">
        <v>293.58999999999997</v>
      </c>
      <c r="H16">
        <v>45</v>
      </c>
      <c r="I16">
        <f t="shared" si="0"/>
        <v>2099.17</v>
      </c>
      <c r="J16">
        <f t="shared" si="1"/>
        <v>1021.41</v>
      </c>
      <c r="K16">
        <f t="shared" si="2"/>
        <v>1077.7600000000002</v>
      </c>
      <c r="L16">
        <f t="shared" si="3"/>
        <v>51.34</v>
      </c>
    </row>
    <row r="17" spans="1:12" x14ac:dyDescent="0.35">
      <c r="A17" t="s">
        <v>23</v>
      </c>
      <c r="B17" s="2">
        <v>45285</v>
      </c>
      <c r="C17" t="s">
        <v>111</v>
      </c>
      <c r="D17" t="s">
        <v>115</v>
      </c>
      <c r="E17">
        <v>7</v>
      </c>
      <c r="F17">
        <v>12.6</v>
      </c>
      <c r="G17">
        <v>171.24</v>
      </c>
      <c r="H17">
        <v>5</v>
      </c>
      <c r="I17">
        <f t="shared" si="0"/>
        <v>1138.75</v>
      </c>
      <c r="J17">
        <f t="shared" si="1"/>
        <v>88.2</v>
      </c>
      <c r="K17">
        <f t="shared" si="2"/>
        <v>1050.55</v>
      </c>
      <c r="L17">
        <f t="shared" si="3"/>
        <v>92.25</v>
      </c>
    </row>
    <row r="18" spans="1:12" x14ac:dyDescent="0.35">
      <c r="A18" t="s">
        <v>24</v>
      </c>
      <c r="B18" s="2">
        <v>44953</v>
      </c>
      <c r="C18" t="s">
        <v>108</v>
      </c>
      <c r="D18" t="s">
        <v>115</v>
      </c>
      <c r="E18">
        <v>4</v>
      </c>
      <c r="F18">
        <v>125.56</v>
      </c>
      <c r="G18">
        <v>103.58</v>
      </c>
      <c r="H18">
        <v>5</v>
      </c>
      <c r="I18">
        <f t="shared" si="0"/>
        <v>393.6</v>
      </c>
      <c r="J18">
        <f t="shared" si="1"/>
        <v>502.24</v>
      </c>
      <c r="K18">
        <f t="shared" si="2"/>
        <v>-108.63999999999999</v>
      </c>
      <c r="L18">
        <f t="shared" si="3"/>
        <v>-27.6</v>
      </c>
    </row>
    <row r="19" spans="1:12" x14ac:dyDescent="0.35">
      <c r="A19" t="s">
        <v>25</v>
      </c>
      <c r="B19" s="2">
        <v>45240</v>
      </c>
      <c r="C19" t="s">
        <v>109</v>
      </c>
      <c r="D19" t="s">
        <v>114</v>
      </c>
      <c r="E19">
        <v>13</v>
      </c>
      <c r="F19">
        <v>70.63</v>
      </c>
      <c r="G19">
        <v>22.59</v>
      </c>
      <c r="H19">
        <v>5</v>
      </c>
      <c r="I19">
        <f t="shared" si="0"/>
        <v>278.99</v>
      </c>
      <c r="J19">
        <f t="shared" si="1"/>
        <v>918.19</v>
      </c>
      <c r="K19">
        <f t="shared" si="2"/>
        <v>-639.20000000000005</v>
      </c>
      <c r="L19">
        <f t="shared" si="3"/>
        <v>-229.11</v>
      </c>
    </row>
    <row r="20" spans="1:12" x14ac:dyDescent="0.35">
      <c r="A20" t="s">
        <v>26</v>
      </c>
      <c r="B20" s="2">
        <v>45276</v>
      </c>
      <c r="C20" t="s">
        <v>110</v>
      </c>
      <c r="D20" t="s">
        <v>114</v>
      </c>
      <c r="E20">
        <v>1</v>
      </c>
      <c r="F20">
        <v>132.87</v>
      </c>
      <c r="G20">
        <v>278.14999999999998</v>
      </c>
      <c r="H20">
        <v>45</v>
      </c>
      <c r="I20">
        <f t="shared" si="0"/>
        <v>152.97999999999999</v>
      </c>
      <c r="J20">
        <f t="shared" si="1"/>
        <v>132.87</v>
      </c>
      <c r="K20">
        <f t="shared" si="2"/>
        <v>20.109999999999985</v>
      </c>
      <c r="L20">
        <f t="shared" si="3"/>
        <v>13.15</v>
      </c>
    </row>
    <row r="21" spans="1:12" x14ac:dyDescent="0.35">
      <c r="A21" t="s">
        <v>27</v>
      </c>
      <c r="B21" s="2">
        <v>44997</v>
      </c>
      <c r="C21" t="s">
        <v>109</v>
      </c>
      <c r="D21" t="s">
        <v>116</v>
      </c>
      <c r="E21">
        <v>8</v>
      </c>
      <c r="F21">
        <v>80.150000000000006</v>
      </c>
      <c r="G21">
        <v>276.54000000000002</v>
      </c>
      <c r="H21">
        <v>50</v>
      </c>
      <c r="I21">
        <f t="shared" si="0"/>
        <v>1106.1600000000001</v>
      </c>
      <c r="J21">
        <f t="shared" si="1"/>
        <v>641.20000000000005</v>
      </c>
      <c r="K21">
        <f t="shared" si="2"/>
        <v>464.96000000000004</v>
      </c>
      <c r="L21">
        <f t="shared" si="3"/>
        <v>42.03</v>
      </c>
    </row>
    <row r="22" spans="1:12" x14ac:dyDescent="0.35">
      <c r="A22" t="s">
        <v>28</v>
      </c>
      <c r="B22" s="2">
        <v>45127</v>
      </c>
      <c r="C22" t="s">
        <v>109</v>
      </c>
      <c r="D22" t="s">
        <v>115</v>
      </c>
      <c r="E22">
        <v>14</v>
      </c>
      <c r="F22">
        <v>137.91</v>
      </c>
      <c r="G22">
        <v>83.37</v>
      </c>
      <c r="H22">
        <v>10</v>
      </c>
      <c r="I22">
        <f t="shared" si="0"/>
        <v>1050.46</v>
      </c>
      <c r="J22">
        <f t="shared" si="1"/>
        <v>1930.74</v>
      </c>
      <c r="K22">
        <f t="shared" si="2"/>
        <v>-880.28</v>
      </c>
      <c r="L22">
        <f t="shared" si="3"/>
        <v>-83.8</v>
      </c>
    </row>
    <row r="23" spans="1:12" x14ac:dyDescent="0.35">
      <c r="A23" t="s">
        <v>29</v>
      </c>
      <c r="B23" s="2">
        <v>45172</v>
      </c>
      <c r="C23" t="s">
        <v>108</v>
      </c>
      <c r="D23" t="s">
        <v>116</v>
      </c>
      <c r="E23">
        <v>16</v>
      </c>
      <c r="F23">
        <v>71.42</v>
      </c>
      <c r="G23">
        <v>211.67</v>
      </c>
      <c r="H23">
        <v>10</v>
      </c>
      <c r="I23">
        <f t="shared" si="0"/>
        <v>3048.05</v>
      </c>
      <c r="J23">
        <f t="shared" si="1"/>
        <v>1142.72</v>
      </c>
      <c r="K23">
        <f t="shared" si="2"/>
        <v>1905.3300000000002</v>
      </c>
      <c r="L23">
        <f t="shared" si="3"/>
        <v>62.51</v>
      </c>
    </row>
    <row r="24" spans="1:12" x14ac:dyDescent="0.35">
      <c r="A24" t="s">
        <v>30</v>
      </c>
      <c r="B24" s="2">
        <v>45065</v>
      </c>
      <c r="C24" t="s">
        <v>109</v>
      </c>
      <c r="D24" t="s">
        <v>115</v>
      </c>
      <c r="E24">
        <v>14</v>
      </c>
      <c r="F24">
        <v>55.84</v>
      </c>
      <c r="G24">
        <v>31.88</v>
      </c>
      <c r="H24">
        <v>50</v>
      </c>
      <c r="I24">
        <f t="shared" si="0"/>
        <v>223.16</v>
      </c>
      <c r="J24">
        <f t="shared" si="1"/>
        <v>781.76</v>
      </c>
      <c r="K24">
        <f t="shared" si="2"/>
        <v>-558.6</v>
      </c>
      <c r="L24">
        <f t="shared" si="3"/>
        <v>-250.31</v>
      </c>
    </row>
    <row r="25" spans="1:12" x14ac:dyDescent="0.35">
      <c r="A25" t="s">
        <v>31</v>
      </c>
      <c r="B25" s="2">
        <v>45128</v>
      </c>
      <c r="C25" t="s">
        <v>111</v>
      </c>
      <c r="D25" t="s">
        <v>115</v>
      </c>
      <c r="E25">
        <v>12</v>
      </c>
      <c r="F25">
        <v>101.73</v>
      </c>
      <c r="G25">
        <v>58.2</v>
      </c>
      <c r="H25">
        <v>5</v>
      </c>
      <c r="I25">
        <f t="shared" si="0"/>
        <v>663.48</v>
      </c>
      <c r="J25">
        <f t="shared" si="1"/>
        <v>1220.76</v>
      </c>
      <c r="K25">
        <f t="shared" si="2"/>
        <v>-557.28</v>
      </c>
      <c r="L25">
        <f t="shared" si="3"/>
        <v>-83.99</v>
      </c>
    </row>
    <row r="26" spans="1:12" x14ac:dyDescent="0.35">
      <c r="A26" t="s">
        <v>32</v>
      </c>
      <c r="B26" s="2">
        <v>45176</v>
      </c>
      <c r="C26" t="s">
        <v>111</v>
      </c>
      <c r="D26" t="s">
        <v>114</v>
      </c>
      <c r="E26">
        <v>19</v>
      </c>
      <c r="F26">
        <v>140.11000000000001</v>
      </c>
      <c r="G26">
        <v>72.87</v>
      </c>
      <c r="H26">
        <v>15</v>
      </c>
      <c r="I26">
        <f t="shared" si="0"/>
        <v>1176.8499999999999</v>
      </c>
      <c r="J26">
        <f t="shared" si="1"/>
        <v>2662.09</v>
      </c>
      <c r="K26">
        <f t="shared" si="2"/>
        <v>-1485.2400000000002</v>
      </c>
      <c r="L26">
        <f t="shared" si="3"/>
        <v>-126.2</v>
      </c>
    </row>
    <row r="27" spans="1:12" x14ac:dyDescent="0.35">
      <c r="A27" t="s">
        <v>33</v>
      </c>
      <c r="B27" s="2">
        <v>44961</v>
      </c>
      <c r="C27" t="s">
        <v>112</v>
      </c>
      <c r="D27" t="s">
        <v>114</v>
      </c>
      <c r="E27">
        <v>15</v>
      </c>
      <c r="F27">
        <v>72.930000000000007</v>
      </c>
      <c r="G27">
        <v>95.4</v>
      </c>
      <c r="H27">
        <v>0</v>
      </c>
      <c r="I27">
        <f t="shared" si="0"/>
        <v>1431</v>
      </c>
      <c r="J27">
        <f t="shared" si="1"/>
        <v>1093.95</v>
      </c>
      <c r="K27">
        <f t="shared" si="2"/>
        <v>337.04999999999995</v>
      </c>
      <c r="L27">
        <f t="shared" si="3"/>
        <v>23.55</v>
      </c>
    </row>
    <row r="28" spans="1:12" x14ac:dyDescent="0.35">
      <c r="A28" t="s">
        <v>34</v>
      </c>
      <c r="B28" s="2">
        <v>45183</v>
      </c>
      <c r="C28" t="s">
        <v>110</v>
      </c>
      <c r="D28" t="s">
        <v>113</v>
      </c>
      <c r="E28">
        <v>2</v>
      </c>
      <c r="F28">
        <v>187.65</v>
      </c>
      <c r="G28">
        <v>298.79000000000002</v>
      </c>
      <c r="H28">
        <v>45</v>
      </c>
      <c r="I28">
        <f t="shared" si="0"/>
        <v>328.67</v>
      </c>
      <c r="J28">
        <f t="shared" si="1"/>
        <v>375.3</v>
      </c>
      <c r="K28">
        <f t="shared" si="2"/>
        <v>-46.629999999999995</v>
      </c>
      <c r="L28">
        <f t="shared" si="3"/>
        <v>-14.19</v>
      </c>
    </row>
    <row r="29" spans="1:12" x14ac:dyDescent="0.35">
      <c r="A29" t="s">
        <v>35</v>
      </c>
      <c r="B29" s="2">
        <v>44983</v>
      </c>
      <c r="C29" t="s">
        <v>109</v>
      </c>
      <c r="D29" t="s">
        <v>114</v>
      </c>
      <c r="E29">
        <v>2</v>
      </c>
      <c r="F29">
        <v>12.64</v>
      </c>
      <c r="G29">
        <v>212.11</v>
      </c>
      <c r="H29">
        <v>0</v>
      </c>
      <c r="I29">
        <f t="shared" si="0"/>
        <v>424.22</v>
      </c>
      <c r="J29">
        <f t="shared" si="1"/>
        <v>25.28</v>
      </c>
      <c r="K29">
        <f t="shared" si="2"/>
        <v>398.94000000000005</v>
      </c>
      <c r="L29">
        <f t="shared" si="3"/>
        <v>94.04</v>
      </c>
    </row>
    <row r="30" spans="1:12" x14ac:dyDescent="0.35">
      <c r="A30" t="s">
        <v>36</v>
      </c>
      <c r="B30" s="2">
        <v>45195</v>
      </c>
      <c r="C30" t="s">
        <v>109</v>
      </c>
      <c r="D30" t="s">
        <v>113</v>
      </c>
      <c r="E30">
        <v>19</v>
      </c>
      <c r="F30">
        <v>86.5</v>
      </c>
      <c r="G30">
        <v>121.42</v>
      </c>
      <c r="H30">
        <v>50</v>
      </c>
      <c r="I30">
        <f t="shared" si="0"/>
        <v>1153.49</v>
      </c>
      <c r="J30">
        <f t="shared" si="1"/>
        <v>1643.5</v>
      </c>
      <c r="K30">
        <f t="shared" si="2"/>
        <v>-490.01</v>
      </c>
      <c r="L30">
        <f t="shared" si="3"/>
        <v>-42.48</v>
      </c>
    </row>
    <row r="31" spans="1:12" x14ac:dyDescent="0.35">
      <c r="A31" t="s">
        <v>37</v>
      </c>
      <c r="B31" s="2">
        <v>45048</v>
      </c>
      <c r="C31" t="s">
        <v>108</v>
      </c>
      <c r="D31" t="s">
        <v>113</v>
      </c>
      <c r="E31">
        <v>17</v>
      </c>
      <c r="F31">
        <v>193.68</v>
      </c>
      <c r="G31">
        <v>223.76</v>
      </c>
      <c r="H31">
        <v>15</v>
      </c>
      <c r="I31">
        <f t="shared" si="0"/>
        <v>3233.33</v>
      </c>
      <c r="J31">
        <f t="shared" si="1"/>
        <v>3292.56</v>
      </c>
      <c r="K31">
        <f t="shared" si="2"/>
        <v>-59.230000000000018</v>
      </c>
      <c r="L31">
        <f t="shared" si="3"/>
        <v>-1.83</v>
      </c>
    </row>
    <row r="32" spans="1:12" x14ac:dyDescent="0.35">
      <c r="A32" t="s">
        <v>38</v>
      </c>
      <c r="B32" s="2">
        <v>45031</v>
      </c>
      <c r="C32" t="s">
        <v>111</v>
      </c>
      <c r="D32" t="s">
        <v>113</v>
      </c>
      <c r="E32">
        <v>10</v>
      </c>
      <c r="F32">
        <v>111.85</v>
      </c>
      <c r="G32">
        <v>275.42</v>
      </c>
      <c r="H32">
        <v>45</v>
      </c>
      <c r="I32">
        <f t="shared" si="0"/>
        <v>1514.81</v>
      </c>
      <c r="J32">
        <f t="shared" si="1"/>
        <v>1118.5</v>
      </c>
      <c r="K32">
        <f t="shared" si="2"/>
        <v>396.30999999999995</v>
      </c>
      <c r="L32">
        <f t="shared" si="3"/>
        <v>26.16</v>
      </c>
    </row>
    <row r="33" spans="1:12" x14ac:dyDescent="0.35">
      <c r="A33" t="s">
        <v>39</v>
      </c>
      <c r="B33" s="2">
        <v>45267</v>
      </c>
      <c r="C33" t="s">
        <v>110</v>
      </c>
      <c r="D33" t="s">
        <v>113</v>
      </c>
      <c r="E33">
        <v>6</v>
      </c>
      <c r="F33">
        <v>87.58</v>
      </c>
      <c r="G33">
        <v>288.02</v>
      </c>
      <c r="H33">
        <v>50</v>
      </c>
      <c r="I33">
        <f t="shared" si="0"/>
        <v>864.06</v>
      </c>
      <c r="J33">
        <f t="shared" si="1"/>
        <v>525.48</v>
      </c>
      <c r="K33">
        <f t="shared" si="2"/>
        <v>338.57999999999993</v>
      </c>
      <c r="L33">
        <f t="shared" si="3"/>
        <v>39.18</v>
      </c>
    </row>
    <row r="34" spans="1:12" x14ac:dyDescent="0.35">
      <c r="A34" t="s">
        <v>40</v>
      </c>
      <c r="B34" s="2">
        <v>45268</v>
      </c>
      <c r="C34" t="s">
        <v>112</v>
      </c>
      <c r="D34" t="s">
        <v>113</v>
      </c>
      <c r="E34">
        <v>15</v>
      </c>
      <c r="F34">
        <v>115.86</v>
      </c>
      <c r="G34">
        <v>26.78</v>
      </c>
      <c r="H34">
        <v>5</v>
      </c>
      <c r="I34">
        <f t="shared" si="0"/>
        <v>381.62</v>
      </c>
      <c r="J34">
        <f t="shared" si="1"/>
        <v>1737.9</v>
      </c>
      <c r="K34">
        <f t="shared" si="2"/>
        <v>-1356.2800000000002</v>
      </c>
      <c r="L34">
        <f t="shared" si="3"/>
        <v>-355.4</v>
      </c>
    </row>
    <row r="35" spans="1:12" x14ac:dyDescent="0.35">
      <c r="A35" t="s">
        <v>41</v>
      </c>
      <c r="B35" s="2">
        <v>44999</v>
      </c>
      <c r="C35" t="s">
        <v>111</v>
      </c>
      <c r="D35" t="s">
        <v>116</v>
      </c>
      <c r="E35">
        <v>11</v>
      </c>
      <c r="F35">
        <v>117.31</v>
      </c>
      <c r="G35">
        <v>124.41</v>
      </c>
      <c r="H35">
        <v>10</v>
      </c>
      <c r="I35">
        <f t="shared" si="0"/>
        <v>1231.6600000000001</v>
      </c>
      <c r="J35">
        <f t="shared" si="1"/>
        <v>1290.4100000000001</v>
      </c>
      <c r="K35">
        <f t="shared" si="2"/>
        <v>-58.75</v>
      </c>
      <c r="L35">
        <f t="shared" si="3"/>
        <v>-4.7699999999999996</v>
      </c>
    </row>
    <row r="36" spans="1:12" x14ac:dyDescent="0.35">
      <c r="A36" t="s">
        <v>42</v>
      </c>
      <c r="B36" s="2">
        <v>44930</v>
      </c>
      <c r="C36" t="s">
        <v>112</v>
      </c>
      <c r="D36" t="s">
        <v>114</v>
      </c>
      <c r="E36">
        <v>5</v>
      </c>
      <c r="F36">
        <v>147.66999999999999</v>
      </c>
      <c r="G36">
        <v>40.96</v>
      </c>
      <c r="H36">
        <v>0</v>
      </c>
      <c r="I36">
        <f t="shared" si="0"/>
        <v>204.8</v>
      </c>
      <c r="J36">
        <f t="shared" si="1"/>
        <v>738.35</v>
      </c>
      <c r="K36">
        <f t="shared" si="2"/>
        <v>-533.54999999999995</v>
      </c>
      <c r="L36">
        <f t="shared" si="3"/>
        <v>-260.52</v>
      </c>
    </row>
    <row r="37" spans="1:12" x14ac:dyDescent="0.35">
      <c r="A37" t="s">
        <v>43</v>
      </c>
      <c r="B37" s="2">
        <v>44965</v>
      </c>
      <c r="C37" t="s">
        <v>108</v>
      </c>
      <c r="D37" t="s">
        <v>113</v>
      </c>
      <c r="E37">
        <v>1</v>
      </c>
      <c r="F37">
        <v>29.9</v>
      </c>
      <c r="G37">
        <v>107.34</v>
      </c>
      <c r="H37">
        <v>20</v>
      </c>
      <c r="I37">
        <f t="shared" si="0"/>
        <v>85.87</v>
      </c>
      <c r="J37">
        <f t="shared" si="1"/>
        <v>29.9</v>
      </c>
      <c r="K37">
        <f t="shared" si="2"/>
        <v>55.970000000000006</v>
      </c>
      <c r="L37">
        <f t="shared" si="3"/>
        <v>65.180000000000007</v>
      </c>
    </row>
    <row r="38" spans="1:12" x14ac:dyDescent="0.35">
      <c r="A38" t="s">
        <v>44</v>
      </c>
      <c r="B38" s="2">
        <v>45018</v>
      </c>
      <c r="C38" t="s">
        <v>108</v>
      </c>
      <c r="D38" t="s">
        <v>115</v>
      </c>
      <c r="E38">
        <v>8</v>
      </c>
      <c r="F38">
        <v>53.75</v>
      </c>
      <c r="G38">
        <v>59.21</v>
      </c>
      <c r="H38">
        <v>20</v>
      </c>
      <c r="I38">
        <f t="shared" si="0"/>
        <v>378.94</v>
      </c>
      <c r="J38">
        <f t="shared" si="1"/>
        <v>430</v>
      </c>
      <c r="K38">
        <f t="shared" si="2"/>
        <v>-51.06</v>
      </c>
      <c r="L38">
        <f t="shared" si="3"/>
        <v>-13.47</v>
      </c>
    </row>
    <row r="39" spans="1:12" x14ac:dyDescent="0.35">
      <c r="A39" t="s">
        <v>45</v>
      </c>
      <c r="B39" s="2">
        <v>45099</v>
      </c>
      <c r="C39" t="s">
        <v>109</v>
      </c>
      <c r="D39" t="s">
        <v>114</v>
      </c>
      <c r="E39">
        <v>12</v>
      </c>
      <c r="F39">
        <v>118.21</v>
      </c>
      <c r="G39">
        <v>197.59</v>
      </c>
      <c r="H39">
        <v>15</v>
      </c>
      <c r="I39">
        <f t="shared" si="0"/>
        <v>2015.42</v>
      </c>
      <c r="J39">
        <f t="shared" si="1"/>
        <v>1418.52</v>
      </c>
      <c r="K39">
        <f t="shared" si="2"/>
        <v>596.90000000000009</v>
      </c>
      <c r="L39">
        <f t="shared" si="3"/>
        <v>29.62</v>
      </c>
    </row>
    <row r="40" spans="1:12" x14ac:dyDescent="0.35">
      <c r="A40" t="s">
        <v>46</v>
      </c>
      <c r="B40" s="2">
        <v>45203</v>
      </c>
      <c r="C40" t="s">
        <v>110</v>
      </c>
      <c r="D40" t="s">
        <v>114</v>
      </c>
      <c r="E40">
        <v>12</v>
      </c>
      <c r="F40">
        <v>174.09</v>
      </c>
      <c r="G40">
        <v>122.6</v>
      </c>
      <c r="H40">
        <v>5</v>
      </c>
      <c r="I40">
        <f t="shared" si="0"/>
        <v>1397.64</v>
      </c>
      <c r="J40">
        <f t="shared" si="1"/>
        <v>2089.08</v>
      </c>
      <c r="K40">
        <f t="shared" si="2"/>
        <v>-691.43999999999983</v>
      </c>
      <c r="L40">
        <f t="shared" si="3"/>
        <v>-49.47</v>
      </c>
    </row>
    <row r="41" spans="1:12" x14ac:dyDescent="0.35">
      <c r="A41" t="s">
        <v>47</v>
      </c>
      <c r="B41" s="2">
        <v>45095</v>
      </c>
      <c r="C41" t="s">
        <v>112</v>
      </c>
      <c r="D41" t="s">
        <v>113</v>
      </c>
      <c r="E41">
        <v>5</v>
      </c>
      <c r="F41">
        <v>114.56</v>
      </c>
      <c r="G41">
        <v>76.52</v>
      </c>
      <c r="H41">
        <v>0</v>
      </c>
      <c r="I41">
        <f t="shared" si="0"/>
        <v>382.6</v>
      </c>
      <c r="J41">
        <f t="shared" si="1"/>
        <v>572.79999999999995</v>
      </c>
      <c r="K41">
        <f t="shared" si="2"/>
        <v>-190.19999999999993</v>
      </c>
      <c r="L41">
        <f t="shared" si="3"/>
        <v>-49.71</v>
      </c>
    </row>
    <row r="42" spans="1:12" x14ac:dyDescent="0.35">
      <c r="A42" t="s">
        <v>48</v>
      </c>
      <c r="B42" s="2">
        <v>45211</v>
      </c>
      <c r="C42" t="s">
        <v>111</v>
      </c>
      <c r="D42" t="s">
        <v>116</v>
      </c>
      <c r="E42">
        <v>7</v>
      </c>
      <c r="F42">
        <v>51.53</v>
      </c>
      <c r="G42">
        <v>87.12</v>
      </c>
      <c r="H42">
        <v>5</v>
      </c>
      <c r="I42">
        <f t="shared" si="0"/>
        <v>579.35</v>
      </c>
      <c r="J42">
        <f t="shared" si="1"/>
        <v>360.71</v>
      </c>
      <c r="K42">
        <f t="shared" si="2"/>
        <v>218.64000000000004</v>
      </c>
      <c r="L42">
        <f t="shared" si="3"/>
        <v>37.74</v>
      </c>
    </row>
    <row r="43" spans="1:12" x14ac:dyDescent="0.35">
      <c r="A43" t="s">
        <v>49</v>
      </c>
      <c r="B43" s="2">
        <v>44967</v>
      </c>
      <c r="C43" t="s">
        <v>108</v>
      </c>
      <c r="D43" t="s">
        <v>113</v>
      </c>
      <c r="E43">
        <v>4</v>
      </c>
      <c r="F43">
        <v>137.57</v>
      </c>
      <c r="G43">
        <v>114.5</v>
      </c>
      <c r="H43">
        <v>0</v>
      </c>
      <c r="I43">
        <f t="shared" si="0"/>
        <v>458</v>
      </c>
      <c r="J43">
        <f t="shared" si="1"/>
        <v>550.28</v>
      </c>
      <c r="K43">
        <f t="shared" si="2"/>
        <v>-92.279999999999973</v>
      </c>
      <c r="L43">
        <f t="shared" si="3"/>
        <v>-20.149999999999999</v>
      </c>
    </row>
    <row r="44" spans="1:12" x14ac:dyDescent="0.35">
      <c r="A44" t="s">
        <v>50</v>
      </c>
      <c r="B44" s="2">
        <v>45030</v>
      </c>
      <c r="C44" t="s">
        <v>109</v>
      </c>
      <c r="D44" t="s">
        <v>116</v>
      </c>
      <c r="E44">
        <v>6</v>
      </c>
      <c r="F44">
        <v>149.28</v>
      </c>
      <c r="G44">
        <v>85.39</v>
      </c>
      <c r="H44">
        <v>15</v>
      </c>
      <c r="I44">
        <f t="shared" si="0"/>
        <v>435.49</v>
      </c>
      <c r="J44">
        <f t="shared" si="1"/>
        <v>895.68</v>
      </c>
      <c r="K44">
        <f t="shared" si="2"/>
        <v>-460.18999999999994</v>
      </c>
      <c r="L44">
        <f t="shared" si="3"/>
        <v>-105.67</v>
      </c>
    </row>
    <row r="45" spans="1:12" x14ac:dyDescent="0.35">
      <c r="A45" t="s">
        <v>51</v>
      </c>
      <c r="B45" s="2">
        <v>45152</v>
      </c>
      <c r="C45" t="s">
        <v>109</v>
      </c>
      <c r="D45" t="s">
        <v>115</v>
      </c>
      <c r="E45">
        <v>13</v>
      </c>
      <c r="F45">
        <v>51.46</v>
      </c>
      <c r="G45">
        <v>141.44</v>
      </c>
      <c r="H45">
        <v>15</v>
      </c>
      <c r="I45">
        <f t="shared" si="0"/>
        <v>1562.91</v>
      </c>
      <c r="J45">
        <f t="shared" si="1"/>
        <v>668.98</v>
      </c>
      <c r="K45">
        <f t="shared" si="2"/>
        <v>893.93000000000006</v>
      </c>
      <c r="L45">
        <f t="shared" si="3"/>
        <v>57.2</v>
      </c>
    </row>
    <row r="46" spans="1:12" x14ac:dyDescent="0.35">
      <c r="A46" t="s">
        <v>52</v>
      </c>
      <c r="B46" s="2">
        <v>45132</v>
      </c>
      <c r="C46" t="s">
        <v>112</v>
      </c>
      <c r="D46" t="s">
        <v>114</v>
      </c>
      <c r="E46">
        <v>15</v>
      </c>
      <c r="F46">
        <v>78.66</v>
      </c>
      <c r="G46">
        <v>19.37</v>
      </c>
      <c r="H46">
        <v>20</v>
      </c>
      <c r="I46">
        <f t="shared" si="0"/>
        <v>232.44</v>
      </c>
      <c r="J46">
        <f t="shared" si="1"/>
        <v>1179.9000000000001</v>
      </c>
      <c r="K46">
        <f t="shared" si="2"/>
        <v>-947.46</v>
      </c>
      <c r="L46">
        <f t="shared" si="3"/>
        <v>-407.61</v>
      </c>
    </row>
    <row r="47" spans="1:12" x14ac:dyDescent="0.35">
      <c r="A47" t="s">
        <v>53</v>
      </c>
      <c r="B47" s="2">
        <v>45159</v>
      </c>
      <c r="C47" t="s">
        <v>108</v>
      </c>
      <c r="D47" t="s">
        <v>115</v>
      </c>
      <c r="E47">
        <v>3</v>
      </c>
      <c r="F47">
        <v>109.19</v>
      </c>
      <c r="G47">
        <v>91.13</v>
      </c>
      <c r="H47">
        <v>5</v>
      </c>
      <c r="I47">
        <f t="shared" si="0"/>
        <v>259.72000000000003</v>
      </c>
      <c r="J47">
        <f t="shared" si="1"/>
        <v>327.57</v>
      </c>
      <c r="K47">
        <f t="shared" si="2"/>
        <v>-67.849999999999966</v>
      </c>
      <c r="L47">
        <f t="shared" si="3"/>
        <v>-26.12</v>
      </c>
    </row>
    <row r="48" spans="1:12" x14ac:dyDescent="0.35">
      <c r="A48" t="s">
        <v>54</v>
      </c>
      <c r="B48" s="2">
        <v>44972</v>
      </c>
      <c r="C48" t="s">
        <v>110</v>
      </c>
      <c r="D48" t="s">
        <v>116</v>
      </c>
      <c r="E48">
        <v>8</v>
      </c>
      <c r="F48">
        <v>101.83</v>
      </c>
      <c r="G48">
        <v>129.25</v>
      </c>
      <c r="H48">
        <v>45</v>
      </c>
      <c r="I48">
        <f t="shared" si="0"/>
        <v>568.70000000000005</v>
      </c>
      <c r="J48">
        <f t="shared" si="1"/>
        <v>814.64</v>
      </c>
      <c r="K48">
        <f t="shared" si="2"/>
        <v>-245.93999999999994</v>
      </c>
      <c r="L48">
        <f t="shared" si="3"/>
        <v>-43.25</v>
      </c>
    </row>
    <row r="49" spans="1:12" x14ac:dyDescent="0.35">
      <c r="A49" t="s">
        <v>55</v>
      </c>
      <c r="B49" s="2">
        <v>45070</v>
      </c>
      <c r="C49" t="s">
        <v>108</v>
      </c>
      <c r="D49" t="s">
        <v>116</v>
      </c>
      <c r="E49">
        <v>16</v>
      </c>
      <c r="F49">
        <v>80.98</v>
      </c>
      <c r="G49">
        <v>184.81</v>
      </c>
      <c r="H49">
        <v>20</v>
      </c>
      <c r="I49">
        <f t="shared" si="0"/>
        <v>2365.5700000000002</v>
      </c>
      <c r="J49">
        <f t="shared" si="1"/>
        <v>1295.68</v>
      </c>
      <c r="K49">
        <f t="shared" si="2"/>
        <v>1069.8900000000001</v>
      </c>
      <c r="L49">
        <f t="shared" si="3"/>
        <v>45.23</v>
      </c>
    </row>
    <row r="50" spans="1:12" x14ac:dyDescent="0.35">
      <c r="A50" t="s">
        <v>56</v>
      </c>
      <c r="B50" s="2">
        <v>45224</v>
      </c>
      <c r="C50" t="s">
        <v>112</v>
      </c>
      <c r="D50" t="s">
        <v>115</v>
      </c>
      <c r="E50">
        <v>13</v>
      </c>
      <c r="F50">
        <v>63.04</v>
      </c>
      <c r="G50">
        <v>88.58</v>
      </c>
      <c r="H50">
        <v>5</v>
      </c>
      <c r="I50">
        <f t="shared" si="0"/>
        <v>1093.96</v>
      </c>
      <c r="J50">
        <f t="shared" si="1"/>
        <v>819.52</v>
      </c>
      <c r="K50">
        <f t="shared" si="2"/>
        <v>274.44000000000005</v>
      </c>
      <c r="L50">
        <f t="shared" si="3"/>
        <v>25.09</v>
      </c>
    </row>
    <row r="51" spans="1:12" x14ac:dyDescent="0.35">
      <c r="A51" t="s">
        <v>57</v>
      </c>
      <c r="B51" s="2">
        <v>45273</v>
      </c>
      <c r="C51" t="s">
        <v>112</v>
      </c>
      <c r="D51" t="s">
        <v>116</v>
      </c>
      <c r="E51">
        <v>18</v>
      </c>
      <c r="F51">
        <v>24.5</v>
      </c>
      <c r="G51">
        <v>48.62</v>
      </c>
      <c r="H51">
        <v>20</v>
      </c>
      <c r="I51">
        <f t="shared" si="0"/>
        <v>700.13</v>
      </c>
      <c r="J51">
        <f t="shared" si="1"/>
        <v>441</v>
      </c>
      <c r="K51">
        <f t="shared" si="2"/>
        <v>259.13</v>
      </c>
      <c r="L51">
        <f t="shared" si="3"/>
        <v>37.01</v>
      </c>
    </row>
    <row r="52" spans="1:12" x14ac:dyDescent="0.35">
      <c r="A52" t="s">
        <v>58</v>
      </c>
      <c r="B52" s="2">
        <v>45184</v>
      </c>
      <c r="C52" t="s">
        <v>108</v>
      </c>
      <c r="D52" t="s">
        <v>115</v>
      </c>
      <c r="E52">
        <v>10</v>
      </c>
      <c r="F52">
        <v>15.43</v>
      </c>
      <c r="G52">
        <v>32.1</v>
      </c>
      <c r="H52">
        <v>45</v>
      </c>
      <c r="I52">
        <f t="shared" si="0"/>
        <v>176.55</v>
      </c>
      <c r="J52">
        <f t="shared" si="1"/>
        <v>154.30000000000001</v>
      </c>
      <c r="K52">
        <f t="shared" si="2"/>
        <v>22.25</v>
      </c>
      <c r="L52">
        <f t="shared" si="3"/>
        <v>12.6</v>
      </c>
    </row>
    <row r="53" spans="1:12" x14ac:dyDescent="0.35">
      <c r="A53" t="s">
        <v>59</v>
      </c>
      <c r="B53" s="2">
        <v>44951</v>
      </c>
      <c r="C53" t="s">
        <v>112</v>
      </c>
      <c r="D53" t="s">
        <v>114</v>
      </c>
      <c r="E53">
        <v>19</v>
      </c>
      <c r="F53">
        <v>191.92</v>
      </c>
      <c r="G53">
        <v>282.75</v>
      </c>
      <c r="H53">
        <v>10</v>
      </c>
      <c r="I53">
        <f t="shared" si="0"/>
        <v>4835.03</v>
      </c>
      <c r="J53">
        <f t="shared" si="1"/>
        <v>3646.48</v>
      </c>
      <c r="K53">
        <f t="shared" si="2"/>
        <v>1188.5499999999997</v>
      </c>
      <c r="L53">
        <f t="shared" si="3"/>
        <v>24.58</v>
      </c>
    </row>
    <row r="54" spans="1:12" x14ac:dyDescent="0.35">
      <c r="A54" t="s">
        <v>60</v>
      </c>
      <c r="B54" s="2">
        <v>45116</v>
      </c>
      <c r="C54" t="s">
        <v>108</v>
      </c>
      <c r="D54" t="s">
        <v>115</v>
      </c>
      <c r="E54">
        <v>17</v>
      </c>
      <c r="F54">
        <v>170.19</v>
      </c>
      <c r="G54">
        <v>130.83000000000001</v>
      </c>
      <c r="H54">
        <v>10</v>
      </c>
      <c r="I54">
        <f t="shared" si="0"/>
        <v>2001.7</v>
      </c>
      <c r="J54">
        <f t="shared" si="1"/>
        <v>2893.23</v>
      </c>
      <c r="K54">
        <f t="shared" si="2"/>
        <v>-891.53</v>
      </c>
      <c r="L54">
        <f t="shared" si="3"/>
        <v>-44.54</v>
      </c>
    </row>
    <row r="55" spans="1:12" x14ac:dyDescent="0.35">
      <c r="A55" t="s">
        <v>61</v>
      </c>
      <c r="B55" s="2">
        <v>45139</v>
      </c>
      <c r="C55" t="s">
        <v>111</v>
      </c>
      <c r="D55" t="s">
        <v>114</v>
      </c>
      <c r="E55">
        <v>19</v>
      </c>
      <c r="F55">
        <v>74.209999999999994</v>
      </c>
      <c r="G55">
        <v>178.54</v>
      </c>
      <c r="H55">
        <v>10</v>
      </c>
      <c r="I55">
        <f t="shared" si="0"/>
        <v>3053.03</v>
      </c>
      <c r="J55">
        <f t="shared" si="1"/>
        <v>1409.99</v>
      </c>
      <c r="K55">
        <f t="shared" si="2"/>
        <v>1643.0400000000002</v>
      </c>
      <c r="L55">
        <f t="shared" si="3"/>
        <v>53.82</v>
      </c>
    </row>
    <row r="56" spans="1:12" x14ac:dyDescent="0.35">
      <c r="A56" t="s">
        <v>62</v>
      </c>
      <c r="B56" s="2">
        <v>45268</v>
      </c>
      <c r="C56" t="s">
        <v>108</v>
      </c>
      <c r="D56" t="s">
        <v>115</v>
      </c>
      <c r="E56">
        <v>5</v>
      </c>
      <c r="F56">
        <v>191.58</v>
      </c>
      <c r="G56">
        <v>276.56</v>
      </c>
      <c r="H56">
        <v>10</v>
      </c>
      <c r="I56">
        <f t="shared" si="0"/>
        <v>1244.52</v>
      </c>
      <c r="J56">
        <f t="shared" si="1"/>
        <v>957.9</v>
      </c>
      <c r="K56">
        <f t="shared" si="2"/>
        <v>286.62</v>
      </c>
      <c r="L56">
        <f t="shared" si="3"/>
        <v>23.03</v>
      </c>
    </row>
    <row r="57" spans="1:12" x14ac:dyDescent="0.35">
      <c r="A57" t="s">
        <v>63</v>
      </c>
      <c r="B57" s="2">
        <v>45149</v>
      </c>
      <c r="C57" t="s">
        <v>108</v>
      </c>
      <c r="D57" t="s">
        <v>116</v>
      </c>
      <c r="E57">
        <v>9</v>
      </c>
      <c r="F57">
        <v>136.97</v>
      </c>
      <c r="G57">
        <v>34</v>
      </c>
      <c r="H57">
        <v>50</v>
      </c>
      <c r="I57">
        <f t="shared" si="0"/>
        <v>153</v>
      </c>
      <c r="J57">
        <f t="shared" si="1"/>
        <v>1232.73</v>
      </c>
      <c r="K57">
        <f t="shared" si="2"/>
        <v>-1079.73</v>
      </c>
      <c r="L57">
        <f t="shared" si="3"/>
        <v>-705.71</v>
      </c>
    </row>
    <row r="58" spans="1:12" x14ac:dyDescent="0.35">
      <c r="A58" t="s">
        <v>64</v>
      </c>
      <c r="B58" s="2">
        <v>45002</v>
      </c>
      <c r="C58" t="s">
        <v>112</v>
      </c>
      <c r="D58" t="s">
        <v>115</v>
      </c>
      <c r="E58">
        <v>12</v>
      </c>
      <c r="F58">
        <v>99.09</v>
      </c>
      <c r="G58">
        <v>264.23</v>
      </c>
      <c r="H58">
        <v>0</v>
      </c>
      <c r="I58">
        <f t="shared" si="0"/>
        <v>3170.76</v>
      </c>
      <c r="J58">
        <f t="shared" si="1"/>
        <v>1189.08</v>
      </c>
      <c r="K58">
        <f t="shared" si="2"/>
        <v>1981.6800000000003</v>
      </c>
      <c r="L58">
        <f t="shared" si="3"/>
        <v>62.5</v>
      </c>
    </row>
    <row r="59" spans="1:12" x14ac:dyDescent="0.35">
      <c r="A59" t="s">
        <v>65</v>
      </c>
      <c r="B59" s="2">
        <v>45141</v>
      </c>
      <c r="C59" t="s">
        <v>112</v>
      </c>
      <c r="D59" t="s">
        <v>116</v>
      </c>
      <c r="E59">
        <v>1</v>
      </c>
      <c r="F59">
        <v>101.14</v>
      </c>
      <c r="G59">
        <v>169.96</v>
      </c>
      <c r="H59">
        <v>50</v>
      </c>
      <c r="I59">
        <f t="shared" si="0"/>
        <v>84.98</v>
      </c>
      <c r="J59">
        <f t="shared" si="1"/>
        <v>101.14</v>
      </c>
      <c r="K59">
        <f t="shared" si="2"/>
        <v>-16.159999999999997</v>
      </c>
      <c r="L59">
        <f t="shared" si="3"/>
        <v>-19.02</v>
      </c>
    </row>
    <row r="60" spans="1:12" x14ac:dyDescent="0.35">
      <c r="A60" t="s">
        <v>66</v>
      </c>
      <c r="B60" s="2">
        <v>44986</v>
      </c>
      <c r="C60" t="s">
        <v>109</v>
      </c>
      <c r="D60" t="s">
        <v>115</v>
      </c>
      <c r="E60">
        <v>1</v>
      </c>
      <c r="F60">
        <v>21.24</v>
      </c>
      <c r="G60">
        <v>57.8</v>
      </c>
      <c r="H60">
        <v>50</v>
      </c>
      <c r="I60">
        <f t="shared" si="0"/>
        <v>28.9</v>
      </c>
      <c r="J60">
        <f t="shared" si="1"/>
        <v>21.24</v>
      </c>
      <c r="K60">
        <f t="shared" si="2"/>
        <v>7.66</v>
      </c>
      <c r="L60">
        <f t="shared" si="3"/>
        <v>26.51</v>
      </c>
    </row>
    <row r="61" spans="1:12" x14ac:dyDescent="0.35">
      <c r="A61" t="s">
        <v>67</v>
      </c>
      <c r="B61" s="2">
        <v>45235</v>
      </c>
      <c r="C61" t="s">
        <v>109</v>
      </c>
      <c r="D61" t="s">
        <v>115</v>
      </c>
      <c r="E61">
        <v>15</v>
      </c>
      <c r="F61">
        <v>22.88</v>
      </c>
      <c r="G61">
        <v>129.26</v>
      </c>
      <c r="H61">
        <v>50</v>
      </c>
      <c r="I61">
        <f t="shared" si="0"/>
        <v>969.45</v>
      </c>
      <c r="J61">
        <f t="shared" si="1"/>
        <v>343.2</v>
      </c>
      <c r="K61">
        <f t="shared" si="2"/>
        <v>626.25</v>
      </c>
      <c r="L61">
        <f t="shared" si="3"/>
        <v>64.599999999999994</v>
      </c>
    </row>
    <row r="62" spans="1:12" x14ac:dyDescent="0.35">
      <c r="A62" t="s">
        <v>68</v>
      </c>
      <c r="B62" s="2">
        <v>45206</v>
      </c>
      <c r="C62" t="s">
        <v>111</v>
      </c>
      <c r="D62" t="s">
        <v>113</v>
      </c>
      <c r="E62">
        <v>2</v>
      </c>
      <c r="F62">
        <v>122.48</v>
      </c>
      <c r="G62">
        <v>235.5</v>
      </c>
      <c r="H62">
        <v>10</v>
      </c>
      <c r="I62">
        <f t="shared" si="0"/>
        <v>423.9</v>
      </c>
      <c r="J62">
        <f t="shared" si="1"/>
        <v>244.96</v>
      </c>
      <c r="K62">
        <f t="shared" si="2"/>
        <v>178.93999999999997</v>
      </c>
      <c r="L62">
        <f t="shared" si="3"/>
        <v>42.21</v>
      </c>
    </row>
    <row r="63" spans="1:12" x14ac:dyDescent="0.35">
      <c r="A63" t="s">
        <v>69</v>
      </c>
      <c r="B63" s="2">
        <v>45208</v>
      </c>
      <c r="C63" t="s">
        <v>109</v>
      </c>
      <c r="D63" t="s">
        <v>116</v>
      </c>
      <c r="E63">
        <v>16</v>
      </c>
      <c r="F63">
        <v>112.97</v>
      </c>
      <c r="G63">
        <v>149.31</v>
      </c>
      <c r="H63">
        <v>45</v>
      </c>
      <c r="I63">
        <f t="shared" si="0"/>
        <v>1313.93</v>
      </c>
      <c r="J63">
        <f t="shared" si="1"/>
        <v>1807.52</v>
      </c>
      <c r="K63">
        <f t="shared" si="2"/>
        <v>-493.58999999999992</v>
      </c>
      <c r="L63">
        <f t="shared" si="3"/>
        <v>-37.57</v>
      </c>
    </row>
    <row r="64" spans="1:12" x14ac:dyDescent="0.35">
      <c r="A64" t="s">
        <v>70</v>
      </c>
      <c r="B64" s="2">
        <v>45267</v>
      </c>
      <c r="C64" t="s">
        <v>108</v>
      </c>
      <c r="D64" t="s">
        <v>113</v>
      </c>
      <c r="E64">
        <v>8</v>
      </c>
      <c r="F64">
        <v>46.48</v>
      </c>
      <c r="G64">
        <v>295.73</v>
      </c>
      <c r="H64">
        <v>15</v>
      </c>
      <c r="I64">
        <f t="shared" si="0"/>
        <v>2010.96</v>
      </c>
      <c r="J64">
        <f t="shared" si="1"/>
        <v>371.84</v>
      </c>
      <c r="K64">
        <f t="shared" si="2"/>
        <v>1639.1200000000001</v>
      </c>
      <c r="L64">
        <f t="shared" si="3"/>
        <v>81.510000000000005</v>
      </c>
    </row>
    <row r="65" spans="1:12" x14ac:dyDescent="0.35">
      <c r="A65" t="s">
        <v>71</v>
      </c>
      <c r="B65" s="2">
        <v>45177</v>
      </c>
      <c r="C65" t="s">
        <v>112</v>
      </c>
      <c r="D65" t="s">
        <v>116</v>
      </c>
      <c r="E65">
        <v>13</v>
      </c>
      <c r="F65">
        <v>189.51</v>
      </c>
      <c r="G65">
        <v>119.25</v>
      </c>
      <c r="H65">
        <v>15</v>
      </c>
      <c r="I65">
        <f t="shared" si="0"/>
        <v>1317.71</v>
      </c>
      <c r="J65">
        <f t="shared" si="1"/>
        <v>2463.63</v>
      </c>
      <c r="K65">
        <f t="shared" si="2"/>
        <v>-1145.92</v>
      </c>
      <c r="L65">
        <f t="shared" si="3"/>
        <v>-86.96</v>
      </c>
    </row>
    <row r="66" spans="1:12" x14ac:dyDescent="0.35">
      <c r="A66" t="s">
        <v>72</v>
      </c>
      <c r="B66" s="2">
        <v>45262</v>
      </c>
      <c r="C66" t="s">
        <v>109</v>
      </c>
      <c r="D66" t="s">
        <v>113</v>
      </c>
      <c r="E66">
        <v>1</v>
      </c>
      <c r="F66">
        <v>157.35</v>
      </c>
      <c r="G66">
        <v>227.38</v>
      </c>
      <c r="H66">
        <v>0</v>
      </c>
      <c r="I66">
        <f t="shared" si="0"/>
        <v>227.38</v>
      </c>
      <c r="J66">
        <f t="shared" si="1"/>
        <v>157.35</v>
      </c>
      <c r="K66">
        <f t="shared" si="2"/>
        <v>70.03</v>
      </c>
      <c r="L66">
        <f t="shared" si="3"/>
        <v>30.8</v>
      </c>
    </row>
    <row r="67" spans="1:12" x14ac:dyDescent="0.35">
      <c r="A67" t="s">
        <v>73</v>
      </c>
      <c r="B67" s="2">
        <v>44942</v>
      </c>
      <c r="C67" t="s">
        <v>109</v>
      </c>
      <c r="D67" t="s">
        <v>114</v>
      </c>
      <c r="E67">
        <v>16</v>
      </c>
      <c r="F67">
        <v>27.13</v>
      </c>
      <c r="G67">
        <v>123.97</v>
      </c>
      <c r="H67">
        <v>10</v>
      </c>
      <c r="I67">
        <f t="shared" ref="I67:I101" si="4">ROUND(E67*G67*(1-H67/100),2)</f>
        <v>1785.17</v>
      </c>
      <c r="J67">
        <f t="shared" ref="J67:J101" si="5">ROUND(E67*F67, 2)</f>
        <v>434.08</v>
      </c>
      <c r="K67">
        <f t="shared" ref="K67:K101" si="6">I67-J67</f>
        <v>1351.0900000000001</v>
      </c>
      <c r="L67">
        <f t="shared" ref="L67:L101" si="7">ROUND((K67/I67)*100, 2)</f>
        <v>75.680000000000007</v>
      </c>
    </row>
    <row r="68" spans="1:12" x14ac:dyDescent="0.35">
      <c r="A68" t="s">
        <v>74</v>
      </c>
      <c r="B68" s="2">
        <v>45130</v>
      </c>
      <c r="C68" t="s">
        <v>111</v>
      </c>
      <c r="D68" t="s">
        <v>115</v>
      </c>
      <c r="E68">
        <v>7</v>
      </c>
      <c r="F68">
        <v>186.53</v>
      </c>
      <c r="G68">
        <v>250.46</v>
      </c>
      <c r="H68">
        <v>10</v>
      </c>
      <c r="I68">
        <f t="shared" si="4"/>
        <v>1577.9</v>
      </c>
      <c r="J68">
        <f t="shared" si="5"/>
        <v>1305.71</v>
      </c>
      <c r="K68">
        <f t="shared" si="6"/>
        <v>272.19000000000005</v>
      </c>
      <c r="L68">
        <f t="shared" si="7"/>
        <v>17.25</v>
      </c>
    </row>
    <row r="69" spans="1:12" x14ac:dyDescent="0.35">
      <c r="A69" t="s">
        <v>75</v>
      </c>
      <c r="B69" s="2">
        <v>45143</v>
      </c>
      <c r="C69" t="s">
        <v>111</v>
      </c>
      <c r="D69" t="s">
        <v>116</v>
      </c>
      <c r="E69">
        <v>5</v>
      </c>
      <c r="F69">
        <v>194.98</v>
      </c>
      <c r="G69">
        <v>175.03</v>
      </c>
      <c r="H69">
        <v>10</v>
      </c>
      <c r="I69">
        <f t="shared" si="4"/>
        <v>787.64</v>
      </c>
      <c r="J69">
        <f t="shared" si="5"/>
        <v>974.9</v>
      </c>
      <c r="K69">
        <f t="shared" si="6"/>
        <v>-187.26</v>
      </c>
      <c r="L69">
        <f t="shared" si="7"/>
        <v>-23.77</v>
      </c>
    </row>
    <row r="70" spans="1:12" x14ac:dyDescent="0.35">
      <c r="A70" t="s">
        <v>76</v>
      </c>
      <c r="B70" s="2">
        <v>44997</v>
      </c>
      <c r="C70" t="s">
        <v>108</v>
      </c>
      <c r="D70" t="s">
        <v>116</v>
      </c>
      <c r="E70">
        <v>3</v>
      </c>
      <c r="F70">
        <v>199.21</v>
      </c>
      <c r="G70">
        <v>28.42</v>
      </c>
      <c r="H70">
        <v>20</v>
      </c>
      <c r="I70">
        <f t="shared" si="4"/>
        <v>68.209999999999994</v>
      </c>
      <c r="J70">
        <f t="shared" si="5"/>
        <v>597.63</v>
      </c>
      <c r="K70">
        <f t="shared" si="6"/>
        <v>-529.41999999999996</v>
      </c>
      <c r="L70">
        <f t="shared" si="7"/>
        <v>-776.16</v>
      </c>
    </row>
    <row r="71" spans="1:12" x14ac:dyDescent="0.35">
      <c r="A71" t="s">
        <v>77</v>
      </c>
      <c r="B71" s="2">
        <v>45160</v>
      </c>
      <c r="C71" t="s">
        <v>112</v>
      </c>
      <c r="D71" t="s">
        <v>115</v>
      </c>
      <c r="E71">
        <v>12</v>
      </c>
      <c r="F71">
        <v>15.89</v>
      </c>
      <c r="G71">
        <v>20.68</v>
      </c>
      <c r="H71">
        <v>5</v>
      </c>
      <c r="I71">
        <f t="shared" si="4"/>
        <v>235.75</v>
      </c>
      <c r="J71">
        <f t="shared" si="5"/>
        <v>190.68</v>
      </c>
      <c r="K71">
        <f t="shared" si="6"/>
        <v>45.069999999999993</v>
      </c>
      <c r="L71">
        <f t="shared" si="7"/>
        <v>19.12</v>
      </c>
    </row>
    <row r="72" spans="1:12" x14ac:dyDescent="0.35">
      <c r="A72" t="s">
        <v>78</v>
      </c>
      <c r="B72" s="2">
        <v>45233</v>
      </c>
      <c r="C72" t="s">
        <v>111</v>
      </c>
      <c r="D72" t="s">
        <v>116</v>
      </c>
      <c r="E72">
        <v>16</v>
      </c>
      <c r="F72">
        <v>148.72</v>
      </c>
      <c r="G72">
        <v>48.82</v>
      </c>
      <c r="H72">
        <v>20</v>
      </c>
      <c r="I72">
        <f t="shared" si="4"/>
        <v>624.9</v>
      </c>
      <c r="J72">
        <f t="shared" si="5"/>
        <v>2379.52</v>
      </c>
      <c r="K72">
        <f t="shared" si="6"/>
        <v>-1754.62</v>
      </c>
      <c r="L72">
        <f t="shared" si="7"/>
        <v>-280.77999999999997</v>
      </c>
    </row>
    <row r="73" spans="1:12" x14ac:dyDescent="0.35">
      <c r="A73" t="s">
        <v>79</v>
      </c>
      <c r="B73" s="2">
        <v>44929</v>
      </c>
      <c r="C73" t="s">
        <v>109</v>
      </c>
      <c r="D73" t="s">
        <v>116</v>
      </c>
      <c r="E73">
        <v>19</v>
      </c>
      <c r="F73">
        <v>111.45</v>
      </c>
      <c r="G73">
        <v>13.96</v>
      </c>
      <c r="H73">
        <v>5</v>
      </c>
      <c r="I73">
        <f t="shared" si="4"/>
        <v>251.98</v>
      </c>
      <c r="J73">
        <f t="shared" si="5"/>
        <v>2117.5500000000002</v>
      </c>
      <c r="K73">
        <f t="shared" si="6"/>
        <v>-1865.5700000000002</v>
      </c>
      <c r="L73">
        <f t="shared" si="7"/>
        <v>-740.36</v>
      </c>
    </row>
    <row r="74" spans="1:12" x14ac:dyDescent="0.35">
      <c r="A74" t="s">
        <v>80</v>
      </c>
      <c r="B74" s="2">
        <v>45061</v>
      </c>
      <c r="C74" t="s">
        <v>112</v>
      </c>
      <c r="D74" t="s">
        <v>113</v>
      </c>
      <c r="E74">
        <v>5</v>
      </c>
      <c r="F74">
        <v>142.63999999999999</v>
      </c>
      <c r="G74">
        <v>31.85</v>
      </c>
      <c r="H74">
        <v>10</v>
      </c>
      <c r="I74">
        <f t="shared" si="4"/>
        <v>143.33000000000001</v>
      </c>
      <c r="J74">
        <f t="shared" si="5"/>
        <v>713.2</v>
      </c>
      <c r="K74">
        <f t="shared" si="6"/>
        <v>-569.87</v>
      </c>
      <c r="L74">
        <f t="shared" si="7"/>
        <v>-397.59</v>
      </c>
    </row>
    <row r="75" spans="1:12" x14ac:dyDescent="0.35">
      <c r="A75" t="s">
        <v>81</v>
      </c>
      <c r="B75" s="2">
        <v>44986</v>
      </c>
      <c r="C75" t="s">
        <v>112</v>
      </c>
      <c r="D75" t="s">
        <v>116</v>
      </c>
      <c r="E75">
        <v>14</v>
      </c>
      <c r="F75">
        <v>193.89</v>
      </c>
      <c r="G75">
        <v>210.6</v>
      </c>
      <c r="H75">
        <v>10</v>
      </c>
      <c r="I75">
        <f t="shared" si="4"/>
        <v>2653.56</v>
      </c>
      <c r="J75">
        <f t="shared" si="5"/>
        <v>2714.46</v>
      </c>
      <c r="K75">
        <f t="shared" si="6"/>
        <v>-60.900000000000091</v>
      </c>
      <c r="L75">
        <f t="shared" si="7"/>
        <v>-2.2999999999999998</v>
      </c>
    </row>
    <row r="76" spans="1:12" x14ac:dyDescent="0.35">
      <c r="A76" t="s">
        <v>82</v>
      </c>
      <c r="B76" s="2">
        <v>45072</v>
      </c>
      <c r="C76" t="s">
        <v>109</v>
      </c>
      <c r="D76" t="s">
        <v>114</v>
      </c>
      <c r="E76">
        <v>5</v>
      </c>
      <c r="F76">
        <v>139.16999999999999</v>
      </c>
      <c r="G76">
        <v>164.96</v>
      </c>
      <c r="H76">
        <v>20</v>
      </c>
      <c r="I76">
        <f t="shared" si="4"/>
        <v>659.84</v>
      </c>
      <c r="J76">
        <f t="shared" si="5"/>
        <v>695.85</v>
      </c>
      <c r="K76">
        <f t="shared" si="6"/>
        <v>-36.009999999999991</v>
      </c>
      <c r="L76">
        <f t="shared" si="7"/>
        <v>-5.46</v>
      </c>
    </row>
    <row r="77" spans="1:12" x14ac:dyDescent="0.35">
      <c r="A77" t="s">
        <v>83</v>
      </c>
      <c r="B77" s="2">
        <v>45121</v>
      </c>
      <c r="C77" t="s">
        <v>111</v>
      </c>
      <c r="D77" t="s">
        <v>114</v>
      </c>
      <c r="E77">
        <v>15</v>
      </c>
      <c r="F77">
        <v>168.21</v>
      </c>
      <c r="G77">
        <v>227.47</v>
      </c>
      <c r="H77">
        <v>20</v>
      </c>
      <c r="I77">
        <f t="shared" si="4"/>
        <v>2729.64</v>
      </c>
      <c r="J77">
        <f t="shared" si="5"/>
        <v>2523.15</v>
      </c>
      <c r="K77">
        <f t="shared" si="6"/>
        <v>206.48999999999978</v>
      </c>
      <c r="L77">
        <f t="shared" si="7"/>
        <v>7.56</v>
      </c>
    </row>
    <row r="78" spans="1:12" x14ac:dyDescent="0.35">
      <c r="A78" t="s">
        <v>84</v>
      </c>
      <c r="B78" s="2">
        <v>45134</v>
      </c>
      <c r="C78" t="s">
        <v>109</v>
      </c>
      <c r="D78" t="s">
        <v>115</v>
      </c>
      <c r="E78">
        <v>17</v>
      </c>
      <c r="F78">
        <v>174.04</v>
      </c>
      <c r="G78">
        <v>274.82</v>
      </c>
      <c r="H78">
        <v>5</v>
      </c>
      <c r="I78">
        <f t="shared" si="4"/>
        <v>4438.34</v>
      </c>
      <c r="J78">
        <f t="shared" si="5"/>
        <v>2958.68</v>
      </c>
      <c r="K78">
        <f t="shared" si="6"/>
        <v>1479.6600000000003</v>
      </c>
      <c r="L78">
        <f t="shared" si="7"/>
        <v>33.340000000000003</v>
      </c>
    </row>
    <row r="79" spans="1:12" x14ac:dyDescent="0.35">
      <c r="A79" t="s">
        <v>85</v>
      </c>
      <c r="B79" s="2">
        <v>45184</v>
      </c>
      <c r="C79" t="s">
        <v>112</v>
      </c>
      <c r="D79" t="s">
        <v>116</v>
      </c>
      <c r="E79">
        <v>14</v>
      </c>
      <c r="F79">
        <v>168.5</v>
      </c>
      <c r="G79">
        <v>179.69</v>
      </c>
      <c r="H79">
        <v>15</v>
      </c>
      <c r="I79">
        <f t="shared" si="4"/>
        <v>2138.31</v>
      </c>
      <c r="J79">
        <f t="shared" si="5"/>
        <v>2359</v>
      </c>
      <c r="K79">
        <f t="shared" si="6"/>
        <v>-220.69000000000005</v>
      </c>
      <c r="L79">
        <f t="shared" si="7"/>
        <v>-10.32</v>
      </c>
    </row>
    <row r="80" spans="1:12" x14ac:dyDescent="0.35">
      <c r="A80" t="s">
        <v>86</v>
      </c>
      <c r="B80" s="2">
        <v>45209</v>
      </c>
      <c r="C80" t="s">
        <v>110</v>
      </c>
      <c r="D80" t="s">
        <v>115</v>
      </c>
      <c r="E80">
        <v>5</v>
      </c>
      <c r="F80">
        <v>88.09</v>
      </c>
      <c r="G80">
        <v>220.58</v>
      </c>
      <c r="H80">
        <v>5</v>
      </c>
      <c r="I80">
        <f t="shared" si="4"/>
        <v>1047.76</v>
      </c>
      <c r="J80">
        <f t="shared" si="5"/>
        <v>440.45</v>
      </c>
      <c r="K80">
        <f t="shared" si="6"/>
        <v>607.30999999999995</v>
      </c>
      <c r="L80">
        <f t="shared" si="7"/>
        <v>57.96</v>
      </c>
    </row>
    <row r="81" spans="1:12" x14ac:dyDescent="0.35">
      <c r="A81" t="s">
        <v>87</v>
      </c>
      <c r="B81" s="2">
        <v>45273</v>
      </c>
      <c r="C81" t="s">
        <v>110</v>
      </c>
      <c r="D81" t="s">
        <v>114</v>
      </c>
      <c r="E81">
        <v>12</v>
      </c>
      <c r="F81">
        <v>48.4</v>
      </c>
      <c r="G81">
        <v>229.55</v>
      </c>
      <c r="H81">
        <v>20</v>
      </c>
      <c r="I81">
        <f t="shared" si="4"/>
        <v>2203.6799999999998</v>
      </c>
      <c r="J81">
        <f t="shared" si="5"/>
        <v>580.79999999999995</v>
      </c>
      <c r="K81">
        <f t="shared" si="6"/>
        <v>1622.8799999999999</v>
      </c>
      <c r="L81">
        <f t="shared" si="7"/>
        <v>73.64</v>
      </c>
    </row>
    <row r="82" spans="1:12" x14ac:dyDescent="0.35">
      <c r="A82" t="s">
        <v>88</v>
      </c>
      <c r="B82" s="2">
        <v>44992</v>
      </c>
      <c r="C82" t="s">
        <v>108</v>
      </c>
      <c r="D82" t="s">
        <v>116</v>
      </c>
      <c r="E82">
        <v>16</v>
      </c>
      <c r="F82">
        <v>82.35</v>
      </c>
      <c r="G82">
        <v>119.58</v>
      </c>
      <c r="H82">
        <v>45</v>
      </c>
      <c r="I82">
        <f t="shared" si="4"/>
        <v>1052.3</v>
      </c>
      <c r="J82">
        <f t="shared" si="5"/>
        <v>1317.6</v>
      </c>
      <c r="K82">
        <f t="shared" si="6"/>
        <v>-265.29999999999995</v>
      </c>
      <c r="L82">
        <f t="shared" si="7"/>
        <v>-25.21</v>
      </c>
    </row>
    <row r="83" spans="1:12" x14ac:dyDescent="0.35">
      <c r="A83" t="s">
        <v>89</v>
      </c>
      <c r="B83" s="2">
        <v>44946</v>
      </c>
      <c r="C83" t="s">
        <v>109</v>
      </c>
      <c r="D83" t="s">
        <v>116</v>
      </c>
      <c r="E83">
        <v>16</v>
      </c>
      <c r="F83">
        <v>178.92</v>
      </c>
      <c r="G83">
        <v>79.91</v>
      </c>
      <c r="H83">
        <v>20</v>
      </c>
      <c r="I83">
        <f t="shared" si="4"/>
        <v>1022.85</v>
      </c>
      <c r="J83">
        <f t="shared" si="5"/>
        <v>2862.72</v>
      </c>
      <c r="K83">
        <f t="shared" si="6"/>
        <v>-1839.87</v>
      </c>
      <c r="L83">
        <f t="shared" si="7"/>
        <v>-179.88</v>
      </c>
    </row>
    <row r="84" spans="1:12" x14ac:dyDescent="0.35">
      <c r="A84" t="s">
        <v>90</v>
      </c>
      <c r="B84" s="2">
        <v>45021</v>
      </c>
      <c r="C84" t="s">
        <v>109</v>
      </c>
      <c r="D84" t="s">
        <v>115</v>
      </c>
      <c r="E84">
        <v>7</v>
      </c>
      <c r="F84">
        <v>33.590000000000003</v>
      </c>
      <c r="G84">
        <v>69.459999999999994</v>
      </c>
      <c r="H84">
        <v>45</v>
      </c>
      <c r="I84">
        <f t="shared" si="4"/>
        <v>267.42</v>
      </c>
      <c r="J84">
        <f t="shared" si="5"/>
        <v>235.13</v>
      </c>
      <c r="K84">
        <f t="shared" si="6"/>
        <v>32.29000000000002</v>
      </c>
      <c r="L84">
        <f t="shared" si="7"/>
        <v>12.07</v>
      </c>
    </row>
    <row r="85" spans="1:12" x14ac:dyDescent="0.35">
      <c r="A85" t="s">
        <v>91</v>
      </c>
      <c r="B85" s="2">
        <v>45114</v>
      </c>
      <c r="C85" t="s">
        <v>108</v>
      </c>
      <c r="D85" t="s">
        <v>114</v>
      </c>
      <c r="E85">
        <v>4</v>
      </c>
      <c r="F85">
        <v>105.1</v>
      </c>
      <c r="G85">
        <v>82.92</v>
      </c>
      <c r="H85">
        <v>0</v>
      </c>
      <c r="I85">
        <f t="shared" si="4"/>
        <v>331.68</v>
      </c>
      <c r="J85">
        <f t="shared" si="5"/>
        <v>420.4</v>
      </c>
      <c r="K85">
        <f t="shared" si="6"/>
        <v>-88.71999999999997</v>
      </c>
      <c r="L85">
        <f t="shared" si="7"/>
        <v>-26.75</v>
      </c>
    </row>
    <row r="86" spans="1:12" x14ac:dyDescent="0.35">
      <c r="A86" t="s">
        <v>92</v>
      </c>
      <c r="B86" s="2">
        <v>45234</v>
      </c>
      <c r="C86" t="s">
        <v>108</v>
      </c>
      <c r="D86" t="s">
        <v>116</v>
      </c>
      <c r="E86">
        <v>1</v>
      </c>
      <c r="F86">
        <v>50.48</v>
      </c>
      <c r="G86">
        <v>89.67</v>
      </c>
      <c r="H86">
        <v>20</v>
      </c>
      <c r="I86">
        <f t="shared" si="4"/>
        <v>71.739999999999995</v>
      </c>
      <c r="J86">
        <f t="shared" si="5"/>
        <v>50.48</v>
      </c>
      <c r="K86">
        <f t="shared" si="6"/>
        <v>21.259999999999998</v>
      </c>
      <c r="L86">
        <f t="shared" si="7"/>
        <v>29.63</v>
      </c>
    </row>
    <row r="87" spans="1:12" x14ac:dyDescent="0.35">
      <c r="A87" t="s">
        <v>93</v>
      </c>
      <c r="B87" s="2">
        <v>45134</v>
      </c>
      <c r="C87" t="s">
        <v>108</v>
      </c>
      <c r="D87" t="s">
        <v>115</v>
      </c>
      <c r="E87">
        <v>5</v>
      </c>
      <c r="F87">
        <v>118.35</v>
      </c>
      <c r="G87">
        <v>70.099999999999994</v>
      </c>
      <c r="H87">
        <v>0</v>
      </c>
      <c r="I87">
        <f t="shared" si="4"/>
        <v>350.5</v>
      </c>
      <c r="J87">
        <f t="shared" si="5"/>
        <v>591.75</v>
      </c>
      <c r="K87">
        <f t="shared" si="6"/>
        <v>-241.25</v>
      </c>
      <c r="L87">
        <f t="shared" si="7"/>
        <v>-68.83</v>
      </c>
    </row>
    <row r="88" spans="1:12" x14ac:dyDescent="0.35">
      <c r="A88" t="s">
        <v>94</v>
      </c>
      <c r="B88" s="2">
        <v>45007</v>
      </c>
      <c r="C88" t="s">
        <v>112</v>
      </c>
      <c r="D88" t="s">
        <v>114</v>
      </c>
      <c r="E88">
        <v>10</v>
      </c>
      <c r="F88">
        <v>173.31</v>
      </c>
      <c r="G88">
        <v>264.68</v>
      </c>
      <c r="H88">
        <v>15</v>
      </c>
      <c r="I88">
        <f t="shared" si="4"/>
        <v>2249.7800000000002</v>
      </c>
      <c r="J88">
        <f t="shared" si="5"/>
        <v>1733.1</v>
      </c>
      <c r="K88">
        <f t="shared" si="6"/>
        <v>516.68000000000029</v>
      </c>
      <c r="L88">
        <f t="shared" si="7"/>
        <v>22.97</v>
      </c>
    </row>
    <row r="89" spans="1:12" x14ac:dyDescent="0.35">
      <c r="A89" t="s">
        <v>95</v>
      </c>
      <c r="B89" s="2">
        <v>45262</v>
      </c>
      <c r="C89" t="s">
        <v>109</v>
      </c>
      <c r="D89" t="s">
        <v>115</v>
      </c>
      <c r="E89">
        <v>5</v>
      </c>
      <c r="F89">
        <v>176.67</v>
      </c>
      <c r="G89">
        <v>229.53</v>
      </c>
      <c r="H89">
        <v>5</v>
      </c>
      <c r="I89">
        <f t="shared" si="4"/>
        <v>1090.27</v>
      </c>
      <c r="J89">
        <f t="shared" si="5"/>
        <v>883.35</v>
      </c>
      <c r="K89">
        <f t="shared" si="6"/>
        <v>206.91999999999996</v>
      </c>
      <c r="L89">
        <f t="shared" si="7"/>
        <v>18.98</v>
      </c>
    </row>
    <row r="90" spans="1:12" x14ac:dyDescent="0.35">
      <c r="A90" t="s">
        <v>96</v>
      </c>
      <c r="B90" s="2">
        <v>45212</v>
      </c>
      <c r="C90" t="s">
        <v>112</v>
      </c>
      <c r="D90" t="s">
        <v>113</v>
      </c>
      <c r="E90">
        <v>4</v>
      </c>
      <c r="F90">
        <v>51.15</v>
      </c>
      <c r="G90">
        <v>23.6</v>
      </c>
      <c r="H90">
        <v>45</v>
      </c>
      <c r="I90">
        <f t="shared" si="4"/>
        <v>51.92</v>
      </c>
      <c r="J90">
        <f t="shared" si="5"/>
        <v>204.6</v>
      </c>
      <c r="K90">
        <f t="shared" si="6"/>
        <v>-152.68</v>
      </c>
      <c r="L90">
        <f t="shared" si="7"/>
        <v>-294.07</v>
      </c>
    </row>
    <row r="91" spans="1:12" x14ac:dyDescent="0.35">
      <c r="A91" t="s">
        <v>97</v>
      </c>
      <c r="B91" s="2">
        <v>45190</v>
      </c>
      <c r="C91" t="s">
        <v>108</v>
      </c>
      <c r="D91" t="s">
        <v>116</v>
      </c>
      <c r="E91">
        <v>2</v>
      </c>
      <c r="F91">
        <v>182</v>
      </c>
      <c r="G91">
        <v>87.92</v>
      </c>
      <c r="H91">
        <v>5</v>
      </c>
      <c r="I91">
        <f t="shared" si="4"/>
        <v>167.05</v>
      </c>
      <c r="J91">
        <f t="shared" si="5"/>
        <v>364</v>
      </c>
      <c r="K91">
        <f t="shared" si="6"/>
        <v>-196.95</v>
      </c>
      <c r="L91">
        <f t="shared" si="7"/>
        <v>-117.9</v>
      </c>
    </row>
    <row r="92" spans="1:12" x14ac:dyDescent="0.35">
      <c r="A92" t="s">
        <v>98</v>
      </c>
      <c r="B92" s="2">
        <v>45089</v>
      </c>
      <c r="C92" t="s">
        <v>109</v>
      </c>
      <c r="D92" t="s">
        <v>113</v>
      </c>
      <c r="E92">
        <v>10</v>
      </c>
      <c r="F92">
        <v>120.42</v>
      </c>
      <c r="G92">
        <v>16.43</v>
      </c>
      <c r="H92">
        <v>0</v>
      </c>
      <c r="I92">
        <f t="shared" si="4"/>
        <v>164.3</v>
      </c>
      <c r="J92">
        <f t="shared" si="5"/>
        <v>1204.2</v>
      </c>
      <c r="K92">
        <f t="shared" si="6"/>
        <v>-1039.9000000000001</v>
      </c>
      <c r="L92">
        <f t="shared" si="7"/>
        <v>-632.92999999999995</v>
      </c>
    </row>
    <row r="93" spans="1:12" x14ac:dyDescent="0.35">
      <c r="A93" t="s">
        <v>99</v>
      </c>
      <c r="B93" s="2">
        <v>45280</v>
      </c>
      <c r="C93" t="s">
        <v>112</v>
      </c>
      <c r="D93" t="s">
        <v>114</v>
      </c>
      <c r="E93">
        <v>19</v>
      </c>
      <c r="F93">
        <v>73.290000000000006</v>
      </c>
      <c r="G93">
        <v>154.47</v>
      </c>
      <c r="H93">
        <v>45</v>
      </c>
      <c r="I93">
        <f t="shared" si="4"/>
        <v>1614.21</v>
      </c>
      <c r="J93">
        <f t="shared" si="5"/>
        <v>1392.51</v>
      </c>
      <c r="K93">
        <f t="shared" si="6"/>
        <v>221.70000000000005</v>
      </c>
      <c r="L93">
        <f t="shared" si="7"/>
        <v>13.73</v>
      </c>
    </row>
    <row r="94" spans="1:12" x14ac:dyDescent="0.35">
      <c r="A94" t="s">
        <v>100</v>
      </c>
      <c r="B94" s="2">
        <v>45256</v>
      </c>
      <c r="C94" t="s">
        <v>112</v>
      </c>
      <c r="D94" t="s">
        <v>113</v>
      </c>
      <c r="E94">
        <v>1</v>
      </c>
      <c r="F94">
        <v>143.1</v>
      </c>
      <c r="G94">
        <v>148.1</v>
      </c>
      <c r="H94">
        <v>5</v>
      </c>
      <c r="I94">
        <f t="shared" si="4"/>
        <v>140.69999999999999</v>
      </c>
      <c r="J94">
        <f t="shared" si="5"/>
        <v>143.1</v>
      </c>
      <c r="K94">
        <f t="shared" si="6"/>
        <v>-2.4000000000000057</v>
      </c>
      <c r="L94">
        <f t="shared" si="7"/>
        <v>-1.71</v>
      </c>
    </row>
    <row r="95" spans="1:12" x14ac:dyDescent="0.35">
      <c r="A95" t="s">
        <v>101</v>
      </c>
      <c r="B95" s="2">
        <v>45132</v>
      </c>
      <c r="C95" t="s">
        <v>108</v>
      </c>
      <c r="D95" t="s">
        <v>113</v>
      </c>
      <c r="E95">
        <v>5</v>
      </c>
      <c r="F95">
        <v>98.93</v>
      </c>
      <c r="G95">
        <v>251.1</v>
      </c>
      <c r="H95">
        <v>20</v>
      </c>
      <c r="I95">
        <f t="shared" si="4"/>
        <v>1004.4</v>
      </c>
      <c r="J95">
        <f t="shared" si="5"/>
        <v>494.65</v>
      </c>
      <c r="K95">
        <f t="shared" si="6"/>
        <v>509.75</v>
      </c>
      <c r="L95">
        <f t="shared" si="7"/>
        <v>50.75</v>
      </c>
    </row>
    <row r="96" spans="1:12" x14ac:dyDescent="0.35">
      <c r="A96" t="s">
        <v>102</v>
      </c>
      <c r="B96" s="2">
        <v>45108</v>
      </c>
      <c r="C96" t="s">
        <v>109</v>
      </c>
      <c r="D96" t="s">
        <v>114</v>
      </c>
      <c r="E96">
        <v>13</v>
      </c>
      <c r="F96">
        <v>78.709999999999994</v>
      </c>
      <c r="G96">
        <v>99.26</v>
      </c>
      <c r="H96">
        <v>10</v>
      </c>
      <c r="I96">
        <f t="shared" si="4"/>
        <v>1161.3399999999999</v>
      </c>
      <c r="J96">
        <f t="shared" si="5"/>
        <v>1023.23</v>
      </c>
      <c r="K96">
        <f t="shared" si="6"/>
        <v>138.1099999999999</v>
      </c>
      <c r="L96">
        <f t="shared" si="7"/>
        <v>11.89</v>
      </c>
    </row>
    <row r="97" spans="1:12" x14ac:dyDescent="0.35">
      <c r="A97" t="s">
        <v>103</v>
      </c>
      <c r="B97" s="2">
        <v>44951</v>
      </c>
      <c r="C97" t="s">
        <v>108</v>
      </c>
      <c r="D97" t="s">
        <v>115</v>
      </c>
      <c r="E97">
        <v>4</v>
      </c>
      <c r="F97">
        <v>142.49</v>
      </c>
      <c r="G97">
        <v>246.75</v>
      </c>
      <c r="H97">
        <v>0</v>
      </c>
      <c r="I97">
        <f t="shared" si="4"/>
        <v>987</v>
      </c>
      <c r="J97">
        <f t="shared" si="5"/>
        <v>569.96</v>
      </c>
      <c r="K97">
        <f t="shared" si="6"/>
        <v>417.03999999999996</v>
      </c>
      <c r="L97">
        <f t="shared" si="7"/>
        <v>42.25</v>
      </c>
    </row>
    <row r="98" spans="1:12" x14ac:dyDescent="0.35">
      <c r="A98" t="s">
        <v>104</v>
      </c>
      <c r="B98" s="2">
        <v>45255</v>
      </c>
      <c r="C98" t="s">
        <v>109</v>
      </c>
      <c r="D98" t="s">
        <v>113</v>
      </c>
      <c r="E98">
        <v>16</v>
      </c>
      <c r="F98">
        <v>53.5</v>
      </c>
      <c r="G98">
        <v>290.70999999999998</v>
      </c>
      <c r="H98">
        <v>5</v>
      </c>
      <c r="I98">
        <f t="shared" si="4"/>
        <v>4418.79</v>
      </c>
      <c r="J98">
        <f t="shared" si="5"/>
        <v>856</v>
      </c>
      <c r="K98">
        <f t="shared" si="6"/>
        <v>3562.79</v>
      </c>
      <c r="L98">
        <f t="shared" si="7"/>
        <v>80.63</v>
      </c>
    </row>
    <row r="99" spans="1:12" x14ac:dyDescent="0.35">
      <c r="A99" t="s">
        <v>105</v>
      </c>
      <c r="B99" s="2">
        <v>45029</v>
      </c>
      <c r="C99" t="s">
        <v>110</v>
      </c>
      <c r="D99" t="s">
        <v>115</v>
      </c>
      <c r="E99">
        <v>16</v>
      </c>
      <c r="F99">
        <v>69.400000000000006</v>
      </c>
      <c r="G99">
        <v>35.64</v>
      </c>
      <c r="H99">
        <v>0</v>
      </c>
      <c r="I99">
        <f t="shared" si="4"/>
        <v>570.24</v>
      </c>
      <c r="J99">
        <f t="shared" si="5"/>
        <v>1110.4000000000001</v>
      </c>
      <c r="K99">
        <f t="shared" si="6"/>
        <v>-540.16000000000008</v>
      </c>
      <c r="L99">
        <f t="shared" si="7"/>
        <v>-94.73</v>
      </c>
    </row>
    <row r="100" spans="1:12" x14ac:dyDescent="0.35">
      <c r="A100" t="s">
        <v>106</v>
      </c>
      <c r="B100" s="2">
        <v>45172</v>
      </c>
      <c r="C100" t="s">
        <v>111</v>
      </c>
      <c r="D100" t="s">
        <v>113</v>
      </c>
      <c r="E100">
        <v>2</v>
      </c>
      <c r="F100">
        <v>89.72</v>
      </c>
      <c r="G100">
        <v>239.63</v>
      </c>
      <c r="H100">
        <v>50</v>
      </c>
      <c r="I100">
        <f t="shared" si="4"/>
        <v>239.63</v>
      </c>
      <c r="J100">
        <f t="shared" si="5"/>
        <v>179.44</v>
      </c>
      <c r="K100">
        <f t="shared" si="6"/>
        <v>60.19</v>
      </c>
      <c r="L100">
        <f t="shared" si="7"/>
        <v>25.12</v>
      </c>
    </row>
    <row r="101" spans="1:12" x14ac:dyDescent="0.35">
      <c r="A101" t="s">
        <v>107</v>
      </c>
      <c r="B101" s="2">
        <v>45113</v>
      </c>
      <c r="C101" t="s">
        <v>111</v>
      </c>
      <c r="D101" t="s">
        <v>115</v>
      </c>
      <c r="E101">
        <v>17</v>
      </c>
      <c r="F101">
        <v>54.47</v>
      </c>
      <c r="G101">
        <v>181.09</v>
      </c>
      <c r="H101">
        <v>0</v>
      </c>
      <c r="I101">
        <f t="shared" si="4"/>
        <v>3078.53</v>
      </c>
      <c r="J101">
        <f t="shared" si="5"/>
        <v>925.99</v>
      </c>
      <c r="K101">
        <f t="shared" si="6"/>
        <v>2152.54</v>
      </c>
      <c r="L101">
        <f t="shared" si="7"/>
        <v>69.92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Garvine Olwal</dc:creator>
  <cp:lastModifiedBy>Garvine Olwal</cp:lastModifiedBy>
  <dcterms:created xsi:type="dcterms:W3CDTF">2026-02-02T20:28:28Z</dcterms:created>
  <dcterms:modified xsi:type="dcterms:W3CDTF">2026-02-02T23:26:46Z</dcterms:modified>
</cp:coreProperties>
</file>